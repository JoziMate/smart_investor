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fo" sheetId="1" state="visible" r:id="rId1"/>
    <sheet name="Strategia" sheetId="2" state="visible" r:id="rId2"/>
    <sheet name="Salda" sheetId="3" state="visible" r:id="rId3"/>
    <sheet name="Pozycje otwarte" sheetId="4" state="visible" r:id="rId4"/>
    <sheet name="Trejdy" sheetId="5" state="visible" r:id="rId5"/>
    <sheet name="Refleksj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dd.mm.yyyy"/>
    <numFmt numFmtId="165" formatCode="yy.mm.dd"/>
    <numFmt numFmtId="166" formatCode="0.0%;[RED]\(0.0%\);\-"/>
    <numFmt numFmtId="167" formatCode="yyyy-MM-dd"/>
    <numFmt numFmtId="168" formatCode="yyyy-mm-dd"/>
    <numFmt numFmtId="169" formatCode="yyyy.m"/>
  </numFmts>
  <fonts count="10">
    <font>
      <name val="Calibri"/>
      <color theme="1"/>
      <sz val="11"/>
      <scheme val="minor"/>
    </font>
    <font>
      <name val="Arial"/>
      <b val="1"/>
      <color theme="1"/>
      <sz val="14"/>
    </font>
    <font>
      <name val="Arial"/>
      <b val="1"/>
      <color theme="1"/>
      <sz val="10"/>
    </font>
    <font>
      <name val="Calibri"/>
      <color theme="1"/>
      <sz val="11"/>
    </font>
    <font>
      <name val="Arial"/>
      <color theme="1"/>
      <sz val="10"/>
    </font>
    <font>
      <name val="Arial"/>
      <i val="1"/>
      <color rgb="FF595959"/>
      <sz val="9"/>
    </font>
    <font>
      <name val="Arial"/>
      <b val="1"/>
      <color rgb="FFFFFFFF"/>
      <sz val="11"/>
    </font>
    <font>
      <name val="Calibri"/>
      <color theme="1"/>
      <scheme val="minor"/>
    </font>
    <font>
      <name val="Arial"/>
      <color rgb="FF0000FF"/>
      <sz val="10"/>
    </font>
    <font>
      <name val="Arial"/>
      <color theme="1"/>
    </font>
  </fonts>
  <fills count="5">
    <fill>
      <patternFill/>
    </fill>
    <fill>
      <patternFill patternType="lightGray"/>
    </fill>
    <fill>
      <patternFill patternType="solid">
        <fgColor rgb="FFFFF9E6"/>
        <bgColor rgb="FFFFF9E6"/>
      </patternFill>
    </fill>
    <fill>
      <patternFill patternType="solid">
        <fgColor rgb="FFD9E1F2"/>
        <bgColor rgb="FFD9E1F2"/>
      </patternFill>
    </fill>
    <fill>
      <patternFill patternType="solid">
        <fgColor rgb="FF1F4E78"/>
        <bgColor rgb="FF1F4E78"/>
      </patternFill>
    </fill>
  </fills>
  <borders count="3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</borders>
  <cellStyleXfs count="1">
    <xf numFmtId="0" fontId="0" fillId="0" borderId="0"/>
  </cellStyleXfs>
  <cellXfs count="38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164" fontId="3" fillId="2" borderId="1" applyAlignment="1" pivotButton="0" quotePrefix="0" xfId="0">
      <alignment vertical="bottom"/>
    </xf>
    <xf numFmtId="0" fontId="2" fillId="3" borderId="2" applyAlignment="1" pivotButton="0" quotePrefix="0" xfId="0">
      <alignment vertical="bottom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6" fillId="4" borderId="1" applyAlignment="1" pivotButton="0" quotePrefix="0" xfId="0">
      <alignment horizontal="center" vertical="center" wrapText="1"/>
    </xf>
    <xf numFmtId="0" fontId="7" fillId="0" borderId="0" pivotButton="0" quotePrefix="0" xfId="0"/>
    <xf numFmtId="165" fontId="7" fillId="0" borderId="0" pivotButton="0" quotePrefix="0" xfId="0"/>
    <xf numFmtId="0" fontId="2" fillId="3" borderId="1" applyAlignment="1" pivotButton="0" quotePrefix="0" xfId="0">
      <alignment vertical="bottom"/>
    </xf>
    <xf numFmtId="0" fontId="2" fillId="3" borderId="1" applyAlignment="1" pivotButton="0" quotePrefix="0" xfId="0">
      <alignment vertical="bottom"/>
    </xf>
    <xf numFmtId="0" fontId="8" fillId="0" borderId="1" applyAlignment="1" pivotButton="0" quotePrefix="0" xfId="0">
      <alignment vertical="bottom"/>
    </xf>
    <xf numFmtId="0" fontId="8" fillId="0" borderId="1" applyAlignment="1" pivotButton="0" quotePrefix="0" xfId="0">
      <alignment vertical="bottom"/>
    </xf>
    <xf numFmtId="0" fontId="6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bottom"/>
    </xf>
    <xf numFmtId="0" fontId="3" fillId="0" borderId="1" applyAlignment="1" pivotButton="0" quotePrefix="0" xfId="0">
      <alignment vertical="bottom"/>
    </xf>
    <xf numFmtId="166" fontId="3" fillId="0" borderId="1" applyAlignment="1" pivotButton="0" quotePrefix="0" xfId="0">
      <alignment vertical="bottom"/>
    </xf>
    <xf numFmtId="167" fontId="6" fillId="4" borderId="1" applyAlignment="1" pivotButton="0" quotePrefix="0" xfId="0">
      <alignment horizontal="center" vertical="center" wrapText="1"/>
    </xf>
    <xf numFmtId="167" fontId="7" fillId="0" borderId="0" pivotButton="0" quotePrefix="0" xfId="0"/>
    <xf numFmtId="166" fontId="7" fillId="0" borderId="0" pivotButton="0" quotePrefix="0" xfId="0"/>
    <xf numFmtId="168" fontId="7" fillId="0" borderId="0" pivotButton="0" quotePrefix="0" xfId="0"/>
    <xf numFmtId="0" fontId="7" fillId="0" borderId="0" applyAlignment="1" pivotButton="0" quotePrefix="0" xfId="0">
      <alignment vertical="bottom"/>
    </xf>
    <xf numFmtId="0" fontId="7" fillId="0" borderId="0" applyAlignment="1" pivotButton="0" quotePrefix="0" xfId="0">
      <alignment horizontal="right" vertical="bottom"/>
    </xf>
    <xf numFmtId="4" fontId="7" fillId="0" borderId="0" applyAlignment="1" pivotButton="0" quotePrefix="0" xfId="0">
      <alignment horizontal="right" vertical="bottom"/>
    </xf>
    <xf numFmtId="0" fontId="7" fillId="0" borderId="0" applyAlignment="1" pivotButton="0" quotePrefix="0" xfId="0">
      <alignment horizontal="right" vertical="bottom"/>
    </xf>
    <xf numFmtId="0" fontId="7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169" fontId="7" fillId="0" borderId="0" applyAlignment="1" pivotButton="0" quotePrefix="0" xfId="0">
      <alignment horizontal="right" vertical="bottom"/>
    </xf>
    <xf numFmtId="168" fontId="9" fillId="0" borderId="0" applyAlignment="1" pivotButton="0" quotePrefix="0" xfId="0">
      <alignment horizontal="right" vertical="bottom"/>
    </xf>
    <xf numFmtId="0" fontId="9" fillId="0" borderId="0" applyAlignment="1" pivotButton="0" quotePrefix="0" xfId="0">
      <alignment vertical="bottom"/>
    </xf>
    <xf numFmtId="0" fontId="9" fillId="0" borderId="0" applyAlignment="1" pivotButton="0" quotePrefix="0" xfId="0">
      <alignment horizontal="right" vertical="bottom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37" min="1" max="1"/>
    <col width="28" customWidth="1" style="37" min="2" max="2"/>
    <col width="12" customWidth="1" style="37" min="3" max="6"/>
    <col width="8.710000000000001" customWidth="1" style="37" min="7" max="26"/>
  </cols>
  <sheetData>
    <row r="1">
      <c r="A1" s="1" t="inlineStr">
        <is>
          <t>Dziennik inwestora — Gra Inwestycyjna, Smart Inwestor, WSB-NLU</t>
        </is>
      </c>
    </row>
    <row r="3">
      <c r="A3" s="2" t="inlineStr">
        <is>
          <t>Imię i nazwisko</t>
        </is>
      </c>
      <c r="B3" s="4" t="inlineStr">
        <is>
          <t>JW</t>
        </is>
      </c>
    </row>
    <row r="4">
      <c r="A4" s="2" t="inlineStr">
        <is>
          <t>Grupa</t>
        </is>
      </c>
      <c r="B4" s="4" t="n"/>
    </row>
    <row r="5">
      <c r="A5" s="2" t="inlineStr">
        <is>
          <t>E-mail</t>
        </is>
      </c>
      <c r="B5" s="4" t="n"/>
    </row>
    <row r="6">
      <c r="A6" s="2" t="inlineStr">
        <is>
          <t>Data rozpoczęcia gry</t>
        </is>
      </c>
      <c r="B6" s="5" t="n">
        <v>46115</v>
      </c>
    </row>
    <row r="8">
      <c r="A8" s="6" t="inlineStr">
        <is>
          <t>Jak korzystać</t>
        </is>
      </c>
    </row>
    <row r="9" ht="27.75" customHeight="1" s="37">
      <c r="A9" s="7" t="inlineStr">
        <is>
          <t>• Strategia: zapis przyjętej strategii, każda zmiana to nowa wersja w nowym wierszu.</t>
        </is>
      </c>
    </row>
    <row r="10" ht="27.75" customHeight="1" s="37">
      <c r="A10" s="7" t="inlineStr">
        <is>
          <t>• Salda: obowiązkowe, wpisywane przed każdym zjazdem. Procenty liczą się automatycznie.</t>
        </is>
      </c>
    </row>
    <row r="11" ht="27.75" customHeight="1" s="37">
      <c r="A11" s="7" t="inlineStr">
        <is>
          <t>• Pozycje otwarte: obowiązkowe, aktualizowane przed każdym zjazdem.</t>
        </is>
      </c>
    </row>
    <row r="12" ht="27.75" customHeight="1" s="37">
      <c r="A12" s="7" t="inlineStr">
        <is>
          <t>• Trejdy: zakładka opcjonalna, do uznania.</t>
        </is>
      </c>
    </row>
    <row r="13" ht="27.75" customHeight="1" s="37">
      <c r="A13" s="7" t="inlineStr">
        <is>
          <t>• Refleksje: krótkie podsumowanie po każdym okresie między zjazdami.</t>
        </is>
      </c>
    </row>
    <row r="14" ht="27.75" customHeight="1" s="37">
      <c r="A14" s="7" t="inlineStr">
        <is>
          <t>• Format dowolny pod warunkiem zachowania struktury obowiązkowych zakładek.</t>
        </is>
      </c>
    </row>
    <row r="21" ht="15.75" customHeight="1" s="37"/>
    <row r="22" ht="15.75" customHeight="1" s="37"/>
    <row r="23" ht="15.75" customHeight="1" s="37"/>
    <row r="24" ht="15.75" customHeight="1" s="37"/>
    <row r="25" ht="15.75" customHeight="1" s="37"/>
    <row r="26" ht="15.75" customHeight="1" s="37"/>
    <row r="27" ht="15.75" customHeight="1" s="37"/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7">
    <mergeCell ref="A1:D1"/>
    <mergeCell ref="A11:F11"/>
    <mergeCell ref="A10:F10"/>
    <mergeCell ref="A13:F13"/>
    <mergeCell ref="A14:F14"/>
    <mergeCell ref="A9:F9"/>
    <mergeCell ref="A12:F12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ColWidth="14.43" defaultRowHeight="15" customHeight="1"/>
  <cols>
    <col width="10" customWidth="1" style="37" min="1" max="1"/>
    <col width="12" customWidth="1" style="37" min="2" max="2"/>
    <col width="22" customWidth="1" style="37" min="3" max="3"/>
    <col width="18" customWidth="1" style="37" min="4" max="4"/>
    <col width="38" customWidth="1" style="37" min="5" max="5"/>
    <col width="32" customWidth="1" style="37" min="6" max="6"/>
    <col width="8.710000000000001" customWidth="1" style="37" min="7" max="26"/>
  </cols>
  <sheetData>
    <row r="1">
      <c r="A1" s="1" t="inlineStr">
        <is>
          <t>Historia strategii inwestycyjnej</t>
        </is>
      </c>
    </row>
    <row r="2">
      <c r="A2" s="8" t="inlineStr">
        <is>
          <t>Każda istotna zmiana to nowa wersja. Stare wersje zostają jako archiwum.</t>
        </is>
      </c>
    </row>
    <row r="4">
      <c r="A4" s="16" t="inlineStr">
        <is>
          <t>Wersja</t>
        </is>
      </c>
      <c r="B4" s="16" t="inlineStr">
        <is>
          <t>Data</t>
        </is>
      </c>
      <c r="C4" s="16" t="inlineStr">
        <is>
          <t>Klasa aktywów</t>
        </is>
      </c>
      <c r="D4" s="16" t="inlineStr">
        <is>
          <t>Horyzont</t>
        </is>
      </c>
      <c r="E4" s="16" t="inlineStr">
        <is>
          <t>Kryteria wejścia/wyjścia</t>
        </is>
      </c>
      <c r="F4" s="16" t="inlineStr">
        <is>
          <t>Zarządzanie ryzykiem</t>
        </is>
      </c>
    </row>
    <row r="5">
      <c r="A5" s="10" t="inlineStr">
        <is>
          <t>v1 (Core)</t>
        </is>
      </c>
      <c r="B5" s="11" t="n">
        <v>37737</v>
      </c>
      <c r="C5" s="10" t="inlineStr">
        <is>
          <t>GPW: ETF Obligacji Skarbowych (TBSP)</t>
        </is>
      </c>
      <c r="D5" s="10" t="inlineStr">
        <is>
          <t>Długoterminowy (Lata)</t>
        </is>
      </c>
      <c r="E5" s="10" t="inlineStr">
        <is>
          <t>Wejście: Zlecenie Limit, zakup na start. Wyjście: Brak (tylko rebalancing).</t>
        </is>
      </c>
      <c r="F5" s="10" t="inlineStr">
        <is>
          <t>Część bezpieczna. 50% kapitału PLN. Brak dźwigni.</t>
        </is>
      </c>
    </row>
    <row r="6" ht="36" customHeight="1" s="37">
      <c r="A6" s="10" t="inlineStr">
        <is>
          <t>v1 (Core)</t>
        </is>
      </c>
      <c r="B6" s="11" t="n">
        <v>37737</v>
      </c>
      <c r="C6" s="10" t="inlineStr">
        <is>
          <t>GPW: Akcje Dywidendowe (PZU, KTY, ACP, KRU, DOM)</t>
        </is>
      </c>
      <c r="D6" s="10" t="inlineStr">
        <is>
          <t>Długoterminowy (Lata)</t>
        </is>
      </c>
      <c r="E6" s="10" t="inlineStr">
        <is>
          <t>Wejście: Zlecenie Limit. Wyjście: Drastyczna zmiana polityki dywidendowej spółki.</t>
        </is>
      </c>
      <c r="F6" s="10" t="inlineStr">
        <is>
          <t>Max 10% kapitału PLN na jedną spółkę. Brak dźwigni.</t>
        </is>
      </c>
    </row>
    <row r="7" ht="36" customHeight="1" s="37">
      <c r="A7" s="10" t="inlineStr">
        <is>
          <t>v1 (Core)</t>
        </is>
      </c>
      <c r="B7" s="11" t="n">
        <v>37737</v>
      </c>
      <c r="C7" s="10" t="inlineStr">
        <is>
          <t>Saxo: ETF Akcyjne (Globalni Arystokraci + Min. Volatility)</t>
        </is>
      </c>
      <c r="D7" s="10" t="inlineStr">
        <is>
          <t>Długoterminowy (Lata)</t>
        </is>
      </c>
      <c r="E7" s="10" t="inlineStr">
        <is>
          <t>Wejście: Zlecenie Limit (zakup w USD). Wyjście: Tylko przy rebalancingu lub wycofaniu funduszu.</t>
        </is>
      </c>
      <c r="F7" s="10" t="inlineStr">
        <is>
          <t>60% kapitału USD. Zakup w walucie bazowej (brak ryzyka FX względem instrumentu).</t>
        </is>
      </c>
    </row>
    <row r="8" ht="36" customHeight="1" s="37">
      <c r="A8" s="10" t="inlineStr">
        <is>
          <t>v1 (Core)</t>
        </is>
      </c>
      <c r="B8" s="11" t="n">
        <v>37737</v>
      </c>
      <c r="C8" s="10" t="inlineStr">
        <is>
          <t>Saxo: ETF Obligacje Corp. + Rynek Pieniężny (FED)</t>
        </is>
      </c>
      <c r="D8" s="10" t="inlineStr">
        <is>
          <t>Długoterminowy (Lata)</t>
        </is>
      </c>
      <c r="E8" s="10" t="inlineStr">
        <is>
          <t>Wejście: Zlecenie Limit. Wyjście: Brak (poduszka gotówkowa).</t>
        </is>
      </c>
      <c r="F8" s="10" t="inlineStr">
        <is>
          <t>40% kapitału USD. Całkowity brak dźwigni finansowej (Margin: 0%).</t>
        </is>
      </c>
    </row>
    <row r="9" ht="36" customHeight="1" s="37">
      <c r="A9" s="10" t="inlineStr">
        <is>
          <t>v1 (Core)</t>
        </is>
      </c>
      <c r="B9" s="11" t="n">
        <v>37737</v>
      </c>
      <c r="C9" s="10" t="inlineStr">
        <is>
          <t>Binance: Stablecoiny (USDT)</t>
        </is>
      </c>
      <c r="D9" s="10" t="inlineStr">
        <is>
          <t>Średnioterminowy</t>
        </is>
      </c>
      <c r="E9" s="10" t="inlineStr">
        <is>
          <t>Wejście: Rynek Spot / Earn. Wyjście: Potrzeba dokapitalizowania rynku krypto.</t>
        </is>
      </c>
      <c r="F9" s="10" t="inlineStr">
        <is>
          <t>80% alokacji krypto. Pełni funkcję bezpiecznej poduszki ("lokata").</t>
        </is>
      </c>
    </row>
    <row r="10" ht="36" customHeight="1" s="37">
      <c r="A10" s="10" t="inlineStr">
        <is>
          <t>v1 (Core)</t>
        </is>
      </c>
      <c r="B10" s="11" t="n">
        <v>37737</v>
      </c>
      <c r="C10" s="10" t="inlineStr">
        <is>
          <t>Binance: Krypto (BTC, ETH)</t>
        </is>
      </c>
      <c r="D10" s="10" t="inlineStr">
        <is>
          <t>Długoterminowy (Lata)</t>
        </is>
      </c>
      <c r="E10" s="10" t="inlineStr">
        <is>
          <t>Wejście: Rynek Spot. Wyjście: Cykliczna hossa lub rebalancing.</t>
        </is>
      </c>
      <c r="F10" s="10" t="inlineStr">
        <is>
          <t>Tylko 20% alokacji krypto (15% BTC, 5% ETH). Zakaz rynku Futures.</t>
        </is>
      </c>
    </row>
    <row r="11" ht="36" customHeight="1" s="37">
      <c r="A11" s="10" t="inlineStr">
        <is>
          <t>v2 (Satellite)</t>
        </is>
      </c>
      <c r="B11" s="11" t="n">
        <v>37737</v>
      </c>
      <c r="C11" s="10" t="inlineStr">
        <is>
          <t>Satelita: Aktywa Ryzykowne / Spekulacja</t>
        </is>
      </c>
      <c r="D11" s="10" t="inlineStr">
        <is>
          <t>Krótkoterminowy (Dni/Tygodnie)</t>
        </is>
      </c>
      <c r="E11" s="10" t="inlineStr">
        <is>
          <t>Wejście: Zgodnie z analizą (np. przecięcie średnich, wybicie). Wyjście: Ścisły Stop Loss (np. -5%) / Take Profit.</t>
        </is>
      </c>
      <c r="F11" s="10" t="inlineStr">
        <is>
          <t>limit: około 5% całkowitego kapitału. Możliwość testowania dźwigni na małych kwotach.</t>
        </is>
      </c>
    </row>
    <row r="12">
      <c r="A12" s="10" t="inlineStr">
        <is>
          <t>v2 (Instytucjonalna)</t>
        </is>
      </c>
      <c r="B12" s="11" t="n">
        <v>38863</v>
      </c>
      <c r="C12" s="10" t="inlineStr">
        <is>
          <t>Interactive Brokers: Fundament Akcyjny + Tarcza Dłużna</t>
        </is>
      </c>
      <c r="D12" s="10" t="inlineStr">
        <is>
          <t>Długoterminowy</t>
        </is>
      </c>
      <c r="E12" s="10" t="inlineStr">
        <is>
          <t>Wejście: Pominięcie dyrektywy PRIIPs/KID (brak możliwości kupna amerykańskich ETF) poprzez samodzielne zbudowanie bazy akcyjnej (MSFT, GOOGL) oraz bezpośredni zakup amerykańskiego długu (Apple, US-T).</t>
        </is>
      </c>
      <c r="F12" s="10" t="inlineStr">
        <is>
          <t>Wykorzystanie kapitału EUR (~1 000 000 EUR) jako Net Liquidity i darmowego lewara. Celowy brak przewalutowania. Aktywa kupowane w USD generują ujemne saldo gotówkowe (~-400k USD).</t>
        </is>
      </c>
    </row>
    <row r="13">
      <c r="A13" s="10" t="inlineStr">
        <is>
          <t>v2 (Instytucjonalna)</t>
        </is>
      </c>
      <c r="B13" s="11" t="n">
        <v>39228</v>
      </c>
      <c r="C13" s="10" t="inlineStr">
        <is>
          <t>Interactive Brokers: Rynek Opcji (Covered Call &amp; Cash-Secured Puts)</t>
        </is>
      </c>
      <c r="D13" s="10" t="inlineStr">
        <is>
          <t>Średnioterminowy (do wygasania kontraktów, np. Czerwiec '26)</t>
        </is>
      </c>
      <c r="E13" s="10" t="inlineStr">
        <is>
          <t>Wejście: Wystawianie Calli na posiadane już akcje (GOOGL). Wystawianie Putów jako "maszynka ubezpieczeniowa" pod wolny margin (AMZN, JNJ, V). Wyjście: Inkaso premii z upływem czasu lub ew. rolowanie/przydział.</t>
        </is>
      </c>
      <c r="F13" s="10" t="inlineStr">
        <is>
          <t>Pełne pokrycie dla opcji Call (Covered). Dywersyfikacja sektorowa dla wystawionych Putów.</t>
        </is>
      </c>
    </row>
    <row r="14">
      <c r="A14" s="10" t="inlineStr">
        <is>
          <t>v2 (Instytucjonalna)</t>
        </is>
      </c>
      <c r="B14" s="11" t="n">
        <v>39228</v>
      </c>
      <c r="C14" s="10" t="inlineStr">
        <is>
          <t>Binance Futures: Koszyk Ekstremalnego Ryzyka</t>
        </is>
      </c>
      <c r="D14" s="10" t="inlineStr">
        <is>
          <t>Krótkoterminowy / Spekulacyjny</t>
        </is>
      </c>
      <c r="E14" s="10" t="inlineStr">
        <is>
          <t>Wejście: Zajęcie pozycji typu LONG (Market) na instrumencie BTC/USDT z maksymalnym lewarem, zgodnie z wytycznymi zjazdu.</t>
        </is>
      </c>
      <c r="F14" s="10" t="inlineStr">
        <is>
          <t>Bezwzględny tryb "Isolated Margin". Przy lewarze 100x na pozycję 2 BTC (ponad 120 000 USD) ryzyko jest zamrożone i ograniczone do zaledwie ok. 1200 USDT kapitału własnego.</t>
        </is>
      </c>
    </row>
    <row r="21" ht="15.75" customHeight="1" s="37"/>
    <row r="22" ht="15.75" customHeight="1" s="37"/>
    <row r="23" ht="15.75" customHeight="1" s="37"/>
    <row r="24" ht="15.75" customHeight="1" s="37"/>
    <row r="25" ht="15.75" customHeight="1" s="37"/>
    <row r="26" ht="15.75" customHeight="1" s="37"/>
    <row r="27" ht="15.75" customHeight="1" s="37"/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2">
    <mergeCell ref="A2:F2"/>
    <mergeCell ref="A1:F1"/>
  </mergeCell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ColWidth="14.43" defaultRowHeight="15" customHeight="1"/>
  <cols>
    <col width="28" customWidth="1" style="37" min="1" max="1"/>
    <col width="12" customWidth="1" style="37" min="2" max="2"/>
    <col width="13" customWidth="1" style="37" min="3" max="3"/>
    <col width="9" customWidth="1" style="37" min="4" max="4"/>
    <col width="13" customWidth="1" style="37" min="5" max="5"/>
    <col width="12.86" customWidth="1" style="37" min="6" max="6"/>
    <col width="13" customWidth="1" style="37" min="7" max="7"/>
    <col width="9" customWidth="1" style="37" min="8" max="8"/>
    <col width="13" customWidth="1" style="37" min="9" max="9"/>
    <col width="9" customWidth="1" style="37" min="10" max="10"/>
    <col width="13.14" customWidth="1" style="37" min="11" max="11"/>
    <col width="8.710000000000001" customWidth="1" style="37" min="12" max="24"/>
  </cols>
  <sheetData>
    <row r="1">
      <c r="A1" s="1" t="inlineStr">
        <is>
          <t>Salda i stopy zwrotu</t>
        </is>
      </c>
    </row>
    <row r="2">
      <c r="A2" s="8" t="inlineStr">
        <is>
          <t>Wpisuj saldo przed każdym zjazdem. Procenty liczą się automatycznie względem kapitału startowego.</t>
        </is>
      </c>
    </row>
    <row r="4">
      <c r="A4" s="2" t="inlineStr">
        <is>
          <t>Kapitał startowy</t>
        </is>
      </c>
      <c r="B4" s="13" t="inlineStr">
        <is>
          <t>GPW (PLN)</t>
        </is>
      </c>
      <c r="C4" s="13" t="inlineStr">
        <is>
          <t>Saxo (USD)</t>
        </is>
      </c>
      <c r="D4" s="13" t="inlineStr">
        <is>
          <t>Binance Spot (USDT)</t>
        </is>
      </c>
      <c r="E4" s="13" t="inlineStr">
        <is>
          <t>Binance Futures (USDT)</t>
        </is>
      </c>
      <c r="F4" s="13" t="inlineStr">
        <is>
          <t>IBKR (EUR)</t>
        </is>
      </c>
    </row>
    <row r="5">
      <c r="B5" s="15" t="n">
        <v>100000</v>
      </c>
      <c r="C5" s="15" t="n">
        <v>100000</v>
      </c>
      <c r="D5" s="15" t="n">
        <v>10000</v>
      </c>
      <c r="E5" s="15" t="n">
        <v>10000</v>
      </c>
      <c r="F5" s="15" t="n">
        <v>1000000</v>
      </c>
    </row>
    <row r="7">
      <c r="A7" s="16" t="inlineStr">
        <is>
          <t>Punkt kontrolny</t>
        </is>
      </c>
      <c r="B7" s="16" t="inlineStr">
        <is>
          <t>Data</t>
        </is>
      </c>
      <c r="C7" s="16" t="inlineStr">
        <is>
          <t>GPW saldo</t>
        </is>
      </c>
      <c r="D7" s="16" t="inlineStr">
        <is>
          <t>GPW %</t>
        </is>
      </c>
      <c r="E7" s="16" t="inlineStr">
        <is>
          <t>Saxo saldo</t>
        </is>
      </c>
      <c r="F7" s="16" t="inlineStr">
        <is>
          <t>Saxo %</t>
        </is>
      </c>
      <c r="G7" s="16" t="inlineStr">
        <is>
          <t>Bin Spot</t>
        </is>
      </c>
      <c r="H7" s="16" t="inlineStr">
        <is>
          <t>Spot %</t>
        </is>
      </c>
      <c r="I7" s="16" t="inlineStr">
        <is>
          <t>Bin Futures</t>
        </is>
      </c>
      <c r="J7" s="16" t="inlineStr">
        <is>
          <t>Futures %</t>
        </is>
      </c>
      <c r="K7" s="16" t="inlineStr">
        <is>
          <t>IBKR saldo</t>
        </is>
      </c>
      <c r="L7" s="16" t="inlineStr">
        <is>
          <t>IBKR %</t>
        </is>
      </c>
    </row>
    <row r="8">
      <c r="A8" s="17" t="inlineStr">
        <is>
          <t>Start gry</t>
        </is>
      </c>
      <c r="B8" s="18" t="n"/>
      <c r="C8" s="10" t="n">
        <v>101673.73</v>
      </c>
      <c r="D8" s="19">
        <f>IF(C8="","",C8/$B$5-1)</f>
        <v/>
      </c>
      <c r="E8" s="10" t="n">
        <v>100377.28</v>
      </c>
      <c r="F8" s="19">
        <f>IF(E8="","",E8/$C$5-1)</f>
        <v/>
      </c>
      <c r="G8" s="4" t="n">
        <v>10000</v>
      </c>
      <c r="H8" s="19">
        <f>IF(G8="","",G8/$D$5-1)</f>
        <v/>
      </c>
      <c r="I8" s="4" t="n">
        <v>10269</v>
      </c>
      <c r="J8" s="19">
        <f>IF(I8="","",I8/$E$5-1)</f>
        <v/>
      </c>
      <c r="K8" s="4" t="n">
        <v>1000712</v>
      </c>
      <c r="L8" s="19">
        <f>IF(K8="","",K8/$F$5-1)</f>
        <v/>
      </c>
    </row>
    <row r="9">
      <c r="A9" s="17" t="inlineStr">
        <is>
          <t>Przed zjazdem 3</t>
        </is>
      </c>
      <c r="B9" s="18" t="n"/>
      <c r="C9" s="4" t="n"/>
      <c r="D9" s="19">
        <f>IF(C9="","",C9/$B$5-1)</f>
        <v/>
      </c>
      <c r="E9" s="4" t="n"/>
      <c r="F9" s="19">
        <f>IF(E9="","",E9/$C$5-1)</f>
        <v/>
      </c>
      <c r="G9" s="4" t="n"/>
      <c r="H9" s="19">
        <f>IF(G9="","",G9/$D$5-1)</f>
        <v/>
      </c>
      <c r="I9" s="4" t="n"/>
      <c r="J9" s="19">
        <f>IF(I9="","",I9/$E$5-1)</f>
        <v/>
      </c>
      <c r="K9" s="4" t="n"/>
      <c r="L9" s="19">
        <f>IF(K9="","",K9/$E$5-1)</f>
        <v/>
      </c>
    </row>
    <row r="10">
      <c r="A10" s="17" t="inlineStr">
        <is>
          <t>Przed zjazdem 4 (raport końcowy)</t>
        </is>
      </c>
      <c r="B10" s="18" t="n"/>
      <c r="C10" s="4" t="n"/>
      <c r="D10" s="19">
        <f>IF(C10="","",C10/$B$5-1)</f>
        <v/>
      </c>
      <c r="E10" s="4" t="n"/>
      <c r="F10" s="19">
        <f>IF(E10="","",E10/$C$5-1)</f>
        <v/>
      </c>
      <c r="G10" s="4" t="n"/>
      <c r="H10" s="19">
        <f>IF(G10="","",G10/$D$5-1)</f>
        <v/>
      </c>
      <c r="I10" s="4" t="n"/>
      <c r="J10" s="19">
        <f>IF(I10="","",I10/$E$5-1)</f>
        <v/>
      </c>
      <c r="K10" s="4" t="n"/>
      <c r="L10" s="19">
        <f>IF(K10="","",K10/$E$5-1)</f>
        <v/>
      </c>
    </row>
    <row r="11">
      <c r="A11" s="0" t="inlineStr">
        <is>
          <t>Automatyczny Update</t>
        </is>
      </c>
      <c r="B11" s="0" t="inlineStr">
        <is>
          <t>2026-05-16</t>
        </is>
      </c>
      <c r="C11" s="0" t="n">
        <v>101521.98</v>
      </c>
      <c r="E11" s="0" t="n">
        <v>2376926.73</v>
      </c>
      <c r="I11" s="0" t="n">
        <v>0</v>
      </c>
      <c r="K11" s="0" t="n">
        <v>18155263.37482177</v>
      </c>
    </row>
    <row r="21" ht="15.75" customHeight="1" s="37"/>
    <row r="22" ht="15.75" customHeight="1" s="37"/>
    <row r="23" ht="15.75" customHeight="1" s="37"/>
    <row r="24" ht="15.75" customHeight="1" s="37"/>
    <row r="25" ht="15.75" customHeight="1" s="37"/>
    <row r="26" ht="15.75" customHeight="1" s="37"/>
    <row r="27" ht="15.75" customHeight="1" s="37"/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2">
    <mergeCell ref="A1:J1"/>
    <mergeCell ref="A2:J2"/>
  </mergeCell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37" min="1" max="1"/>
    <col width="12" customWidth="1" style="37" min="2" max="2"/>
    <col width="23" customWidth="1" style="37" min="3" max="3"/>
    <col width="10" customWidth="1" style="37" min="4" max="5"/>
    <col width="12" customWidth="1" style="37" min="6" max="7"/>
    <col width="10" customWidth="1" style="37" min="8" max="8"/>
    <col width="28" customWidth="1" style="37" min="9" max="9"/>
    <col width="8.710000000000001" customWidth="1" style="37" min="10" max="26"/>
  </cols>
  <sheetData>
    <row r="1">
      <c r="A1" s="1" t="inlineStr">
        <is>
          <t>Pozycje otwarte</t>
        </is>
      </c>
    </row>
    <row r="2">
      <c r="A2" s="8" t="inlineStr">
        <is>
          <t>Aktualizowane przed każdym zjazdem. Wszystkie aktywne pozycje na trzech platformach.</t>
        </is>
      </c>
    </row>
    <row r="4">
      <c r="A4" s="20" t="inlineStr">
        <is>
          <t>Data aktualizacji</t>
        </is>
      </c>
      <c r="B4" s="16" t="inlineStr">
        <is>
          <t>Platforma</t>
        </is>
      </c>
      <c r="C4" s="16" t="inlineStr">
        <is>
          <t>Instrument</t>
        </is>
      </c>
      <c r="D4" s="16" t="inlineStr">
        <is>
          <t>Kierunek</t>
        </is>
      </c>
      <c r="E4" s="16" t="inlineStr">
        <is>
          <t>Wolumen</t>
        </is>
      </c>
      <c r="F4" s="16" t="inlineStr">
        <is>
          <t>Cena wejścia</t>
        </is>
      </c>
      <c r="G4" s="16" t="inlineStr">
        <is>
          <t>Cena bieżąca</t>
        </is>
      </c>
      <c r="H4" s="16" t="inlineStr">
        <is>
          <t>Wynik %</t>
        </is>
      </c>
      <c r="I4" s="16" t="inlineStr">
        <is>
          <t>Komentarz</t>
        </is>
      </c>
    </row>
    <row r="5">
      <c r="A5" s="21" t="n">
        <v>46138</v>
      </c>
      <c r="B5" s="10" t="inlineStr">
        <is>
          <t>GPW Trader</t>
        </is>
      </c>
      <c r="C5" s="10" t="inlineStr">
        <is>
          <t>ETFBTBSP</t>
        </is>
      </c>
      <c r="D5" s="10" t="inlineStr">
        <is>
          <t>Long</t>
        </is>
      </c>
      <c r="E5" s="10" t="n">
        <v>222</v>
      </c>
      <c r="F5" s="10" t="n">
        <v>224.56</v>
      </c>
      <c r="G5" s="10" t="n">
        <v>226.5</v>
      </c>
      <c r="H5" s="22">
        <f>IF(D5="Long", (G5-F5)/F5, IF(D5="Short", (F5-G5)/F5, ""))</f>
        <v/>
      </c>
      <c r="I5" s="10" t="inlineStr">
        <is>
          <t>Część dłużna CORE (PLN)</t>
        </is>
      </c>
    </row>
    <row r="6">
      <c r="A6" s="21" t="n">
        <v>46138</v>
      </c>
      <c r="B6" s="10" t="inlineStr">
        <is>
          <t>GPW Trader</t>
        </is>
      </c>
      <c r="C6" s="10" t="inlineStr">
        <is>
          <t>PZU</t>
        </is>
      </c>
      <c r="D6" s="10" t="inlineStr">
        <is>
          <t>Long</t>
        </is>
      </c>
      <c r="E6" s="10" t="n">
        <v>151</v>
      </c>
      <c r="F6" s="10" t="n">
        <v>65.88</v>
      </c>
      <c r="G6" s="10" t="n">
        <v>68.08</v>
      </c>
      <c r="H6" s="22">
        <f>IF(D6="Long", (G6-F6)/F6, IF(D6="Short", (F6-G6)/F6, ""))</f>
        <v/>
      </c>
      <c r="I6" s="10" t="inlineStr">
        <is>
          <t>Dywidendowa baza</t>
        </is>
      </c>
    </row>
    <row r="7">
      <c r="A7" s="21" t="n">
        <v>46138</v>
      </c>
      <c r="B7" s="10" t="inlineStr">
        <is>
          <t>GPW Trader</t>
        </is>
      </c>
      <c r="C7" s="10" t="inlineStr">
        <is>
          <t>KETY</t>
        </is>
      </c>
      <c r="D7" s="10" t="inlineStr">
        <is>
          <t>Long</t>
        </is>
      </c>
      <c r="E7" s="10" t="n">
        <v>10</v>
      </c>
      <c r="F7" s="10" t="n">
        <v>1022.6</v>
      </c>
      <c r="G7" s="10" t="n">
        <v>1088</v>
      </c>
      <c r="H7" s="22">
        <f>IF(D7="Long", (G7-F7)/F7, IF(D7="Short", (F7-G7)/F7, ""))</f>
        <v/>
      </c>
      <c r="I7" s="10" t="inlineStr">
        <is>
          <t>Dywidendowa baza</t>
        </is>
      </c>
    </row>
    <row r="8">
      <c r="A8" s="21" t="n">
        <v>46138</v>
      </c>
      <c r="B8" s="10" t="inlineStr">
        <is>
          <t>GPW Trader</t>
        </is>
      </c>
      <c r="C8" s="10" t="inlineStr">
        <is>
          <t>ASSECOPOL</t>
        </is>
      </c>
      <c r="D8" s="10" t="inlineStr">
        <is>
          <t>Long</t>
        </is>
      </c>
      <c r="E8" s="10" t="n">
        <v>54</v>
      </c>
      <c r="F8" s="10" t="n">
        <v>181.7</v>
      </c>
      <c r="G8" s="10" t="n">
        <v>177.85</v>
      </c>
      <c r="H8" s="22">
        <f>IF(D8="Long", (G8-F8)/F8, IF(D8="Short", (F8-G8)/F8, ""))</f>
        <v/>
      </c>
      <c r="I8" s="10" t="inlineStr">
        <is>
          <t>Dywidendowa baza</t>
        </is>
      </c>
    </row>
    <row r="9">
      <c r="A9" s="23" t="n">
        <v>46138</v>
      </c>
      <c r="B9" s="10" t="inlineStr">
        <is>
          <t>GPW Trader</t>
        </is>
      </c>
      <c r="C9" s="10" t="inlineStr">
        <is>
          <t>KRUK</t>
        </is>
      </c>
      <c r="D9" s="10" t="inlineStr">
        <is>
          <t>Long</t>
        </is>
      </c>
      <c r="E9" s="10" t="n">
        <v>21</v>
      </c>
      <c r="F9" s="10" t="n">
        <v>466.53</v>
      </c>
      <c r="G9" s="10" t="n">
        <v>482</v>
      </c>
      <c r="H9" s="22">
        <f>IF(D9="Long", (G9-F9)/F9, IF(D9="Short", (F9-G9)/F9, ""))</f>
        <v/>
      </c>
      <c r="I9" s="10" t="inlineStr">
        <is>
          <t>Dywidendowa baza</t>
        </is>
      </c>
    </row>
    <row r="10">
      <c r="A10" s="21" t="n">
        <v>46138</v>
      </c>
      <c r="B10" s="10" t="inlineStr">
        <is>
          <t>GPW Trader</t>
        </is>
      </c>
      <c r="C10" s="10" t="inlineStr">
        <is>
          <t>DOMDEV</t>
        </is>
      </c>
      <c r="D10" s="10" t="inlineStr">
        <is>
          <t>Long</t>
        </is>
      </c>
      <c r="E10" s="10" t="n">
        <v>42</v>
      </c>
      <c r="F10" s="10" t="n">
        <v>233.88</v>
      </c>
      <c r="G10" s="10" t="n">
        <v>246.5</v>
      </c>
      <c r="H10" s="22">
        <f>IF(D10="Long", (G10-F10)/F10, IF(D10="Short", (F10-G10)/F10, ""))</f>
        <v/>
      </c>
      <c r="I10" s="10" t="inlineStr">
        <is>
          <t>Dywidendowa baza</t>
        </is>
      </c>
    </row>
    <row r="11">
      <c r="A11" s="21" t="n">
        <v>46138</v>
      </c>
      <c r="B11" s="10" t="inlineStr">
        <is>
          <t>Saxo</t>
        </is>
      </c>
      <c r="C11" s="10" t="inlineStr">
        <is>
          <t>Amundi Fed Funds (USD)</t>
        </is>
      </c>
      <c r="D11" s="10" t="inlineStr">
        <is>
          <t>Long</t>
        </is>
      </c>
      <c r="E11" s="10" t="n">
        <v>160</v>
      </c>
      <c r="F11" s="10" t="n">
        <v>124.89</v>
      </c>
      <c r="G11" s="10" t="n">
        <v>124.86</v>
      </c>
      <c r="H11" s="22">
        <f>IF(D11="Long", (G11-F11)/F11, IF(D11="Short", (F11-G11)/F11, ""))</f>
        <v/>
      </c>
      <c r="I11" s="10" t="inlineStr">
        <is>
          <t>Cyfrowa lokata (USD)</t>
        </is>
      </c>
    </row>
    <row r="12">
      <c r="A12" s="21" t="n">
        <v>46138</v>
      </c>
      <c r="B12" s="10" t="inlineStr">
        <is>
          <t>Saxo</t>
        </is>
      </c>
      <c r="C12" s="10" t="inlineStr">
        <is>
          <t>iShares USD Corp Bond</t>
        </is>
      </c>
      <c r="D12" s="10" t="inlineStr">
        <is>
          <t>Long</t>
        </is>
      </c>
      <c r="E12" s="10" t="n">
        <v>196</v>
      </c>
      <c r="F12" s="10" t="n">
        <v>101.84</v>
      </c>
      <c r="G12" s="10" t="n">
        <v>101.88</v>
      </c>
      <c r="H12" s="22">
        <f>IF(D12="Long", (G12-F12)/F12, IF(D12="Short", (F12-G12)/F12, ""))</f>
        <v/>
      </c>
      <c r="I12" s="10" t="inlineStr">
        <is>
          <t>Obligacje korporacyjne (USD)</t>
        </is>
      </c>
    </row>
    <row r="13">
      <c r="A13" s="21" t="n">
        <v>46138</v>
      </c>
      <c r="B13" s="10" t="inlineStr">
        <is>
          <t>Saxo</t>
        </is>
      </c>
      <c r="C13" s="10" t="inlineStr">
        <is>
          <t>State St SPDR Glb Dvd</t>
        </is>
      </c>
      <c r="D13" s="10" t="inlineStr">
        <is>
          <t>Long</t>
        </is>
      </c>
      <c r="E13" s="10" t="n">
        <v>640</v>
      </c>
      <c r="F13" s="10" t="n">
        <v>32.81</v>
      </c>
      <c r="G13" s="10" t="n">
        <v>32.85</v>
      </c>
      <c r="H13" s="22">
        <f>IF(D13="Long", (G13-F13)/F13, IF(D13="Short", (F13-G13)/F13, ""))</f>
        <v/>
      </c>
      <c r="I13" s="10" t="inlineStr">
        <is>
          <t>Arystokraci Dywidendowi</t>
        </is>
      </c>
    </row>
    <row r="14">
      <c r="A14" s="21" t="n">
        <v>46138</v>
      </c>
      <c r="B14" s="10" t="inlineStr">
        <is>
          <t>Saxo</t>
        </is>
      </c>
      <c r="C14" s="10" t="inlineStr">
        <is>
          <t>iShares Edge Min Vol</t>
        </is>
      </c>
      <c r="D14" s="10" t="inlineStr">
        <is>
          <t>Long</t>
        </is>
      </c>
      <c r="E14" s="10" t="n">
        <v>422</v>
      </c>
      <c r="F14" s="10" t="n">
        <v>5590</v>
      </c>
      <c r="G14" s="10" t="n">
        <v>5480</v>
      </c>
      <c r="H14" s="22">
        <f>IF(D14="Long", (G14-F14)/F14, IF(D14="Short", (F14-G14)/F14, ""))</f>
        <v/>
      </c>
      <c r="I14" s="10" t="inlineStr">
        <is>
          <t>Ochrona przed zmiennością</t>
        </is>
      </c>
    </row>
    <row r="15">
      <c r="A15" s="21" t="n">
        <v>46138</v>
      </c>
      <c r="B15" s="10" t="inlineStr">
        <is>
          <t>Saxo</t>
        </is>
      </c>
      <c r="C15" s="10" t="inlineStr">
        <is>
          <t>State St SPDR S&amp;P 500</t>
        </is>
      </c>
      <c r="D15" s="10" t="inlineStr">
        <is>
          <t>Long</t>
        </is>
      </c>
      <c r="E15" s="10" t="n">
        <v>5</v>
      </c>
      <c r="F15" s="10" t="n">
        <v>640.1</v>
      </c>
      <c r="G15" s="10" t="n">
        <v>679.33</v>
      </c>
      <c r="H15" s="22">
        <f>IF(D15="Long", (G15-F15)/F15, IF(D15="Short", (F15-G15)/F15, ""))</f>
        <v/>
      </c>
      <c r="I15" s="10" t="inlineStr">
        <is>
          <t>Szeroki rynek</t>
        </is>
      </c>
    </row>
    <row r="16">
      <c r="A16" s="21" t="inlineStr">
        <is>
          <t>2026-05-16</t>
        </is>
      </c>
      <c r="B16" s="29" t="inlineStr">
        <is>
          <t>Interactive Brokers</t>
        </is>
      </c>
      <c r="C16" s="29" t="inlineStr">
        <is>
          <t>MSFT</t>
        </is>
      </c>
      <c r="D16" s="29" t="inlineStr">
        <is>
          <t>Long</t>
        </is>
      </c>
      <c r="E16" s="27" t="n">
        <v>200</v>
      </c>
      <c r="F16" s="26" t="n">
        <v>410.2</v>
      </c>
      <c r="G16" s="27" t="n">
        <v>421.9200134277344</v>
      </c>
      <c r="H16" s="22">
        <f>IF(D16="Long", (G16-F16)/F16, IF(D16="Short", (F16-G16)/F16, ""))</f>
        <v/>
      </c>
      <c r="I16" s="29" t="inlineStr">
        <is>
          <t>v2: Fundament Akcyjny (Core)</t>
        </is>
      </c>
    </row>
    <row r="17">
      <c r="A17" s="21" t="inlineStr">
        <is>
          <t>2026-05-16</t>
        </is>
      </c>
      <c r="B17" s="29" t="inlineStr">
        <is>
          <t>Interactive Brokers</t>
        </is>
      </c>
      <c r="C17" s="29" t="inlineStr">
        <is>
          <t>GOOGL</t>
        </is>
      </c>
      <c r="D17" s="29" t="inlineStr">
        <is>
          <t>Long</t>
        </is>
      </c>
      <c r="E17" s="27" t="n">
        <v>400</v>
      </c>
      <c r="F17" s="26" t="n">
        <v>396.51</v>
      </c>
      <c r="G17" s="27" t="n">
        <v>396.7799987792969</v>
      </c>
      <c r="H17" s="22">
        <f>IF(D17="Long", (G17-F17)/F17, IF(D17="Short", (F17-G17)/F17, ""))</f>
        <v/>
      </c>
      <c r="I17" s="29" t="inlineStr">
        <is>
          <t>v2: Fundament Akcyjny (Core)</t>
        </is>
      </c>
    </row>
    <row r="18">
      <c r="A18" s="21" t="n">
        <v>46149</v>
      </c>
      <c r="B18" s="29" t="inlineStr">
        <is>
          <t>Interactive Brokers</t>
        </is>
      </c>
      <c r="C18" s="29" t="inlineStr">
        <is>
          <t>GOOGL Call 430 (Czerwiec '26)</t>
        </is>
      </c>
      <c r="D18" s="29" t="inlineStr">
        <is>
          <t>Long</t>
        </is>
      </c>
      <c r="E18" s="27" t="n">
        <v>4</v>
      </c>
      <c r="F18" s="26" t="n">
        <v>397.75</v>
      </c>
      <c r="G18" s="27" t="n">
        <v>397.7</v>
      </c>
      <c r="H18" s="22">
        <f>IF(D18="Long", (G18-F18)/F18, IF(D18="Short", (F18-G18)/F18, ""))</f>
        <v/>
      </c>
      <c r="I18" s="29" t="inlineStr">
        <is>
          <t>v2: Opcje - Dochód Pasywny (Covered Call)</t>
        </is>
      </c>
    </row>
    <row r="19">
      <c r="A19" s="21" t="n">
        <v>46149</v>
      </c>
      <c r="B19" s="29" t="inlineStr">
        <is>
          <t>Interactive Brokers</t>
        </is>
      </c>
      <c r="C19" s="29" t="inlineStr">
        <is>
          <t>AMZN Put</t>
        </is>
      </c>
      <c r="D19" s="29" t="inlineStr">
        <is>
          <t>Short</t>
        </is>
      </c>
      <c r="E19" s="27" t="n">
        <v>7</v>
      </c>
      <c r="F19" s="26" t="n">
        <v>272.13</v>
      </c>
      <c r="G19" s="27" t="n">
        <v>271.77</v>
      </c>
      <c r="H19" s="22">
        <f>IF(D19="Long", (G19-F19)/F19, IF(D19="Short", (F19-G19)/F19, ""))</f>
        <v/>
      </c>
      <c r="I19" s="29" t="inlineStr">
        <is>
          <t>v2: Opcje - Maszynka ubezpieczeniowa</t>
        </is>
      </c>
    </row>
    <row r="20">
      <c r="A20" s="21" t="n">
        <v>46149</v>
      </c>
      <c r="B20" s="29" t="inlineStr">
        <is>
          <t>Interactive Brokers</t>
        </is>
      </c>
      <c r="C20" s="29" t="inlineStr">
        <is>
          <t>JNJ Put</t>
        </is>
      </c>
      <c r="D20" s="29" t="inlineStr">
        <is>
          <t>Short</t>
        </is>
      </c>
      <c r="E20" s="27" t="n">
        <v>6</v>
      </c>
      <c r="F20" s="26" t="n">
        <v>224.87</v>
      </c>
      <c r="G20" s="27" t="n">
        <v>222.51</v>
      </c>
      <c r="H20" s="22">
        <f>IF(D20="Long", (G20-F20)/F20, IF(D20="Short", (F20-G20)/F20, ""))</f>
        <v/>
      </c>
      <c r="I20" s="29" t="inlineStr">
        <is>
          <t>v2: Opcje - Maszynka ubezpieczeniowa</t>
        </is>
      </c>
    </row>
    <row r="21" ht="15.75" customHeight="1" s="37">
      <c r="A21" s="21" t="n">
        <v>46149</v>
      </c>
      <c r="B21" s="29" t="inlineStr">
        <is>
          <t>Interactive Brokers</t>
        </is>
      </c>
      <c r="C21" s="29" t="inlineStr">
        <is>
          <t>V Put</t>
        </is>
      </c>
      <c r="D21" s="29" t="inlineStr">
        <is>
          <t>Short</t>
        </is>
      </c>
      <c r="E21" s="27" t="n">
        <v>4</v>
      </c>
      <c r="F21" s="26" t="n">
        <v>321.72</v>
      </c>
      <c r="G21" s="27" t="n">
        <v>322.78</v>
      </c>
      <c r="H21" s="22">
        <f>IF(D21="Long", (G21-F21)/F21, IF(D21="Short", (F21-G21)/F21, ""))</f>
        <v/>
      </c>
      <c r="I21" s="29" t="inlineStr">
        <is>
          <t>v2: Opcje - Maszynka ubezpieczeniowa</t>
        </is>
      </c>
    </row>
    <row r="22" ht="15.75" customHeight="1" s="37">
      <c r="A22" s="21" t="n">
        <v>46149</v>
      </c>
      <c r="B22" s="29" t="inlineStr">
        <is>
          <t>Interactive Brokers</t>
        </is>
      </c>
      <c r="C22" s="29" t="inlineStr">
        <is>
          <t>AAPL CORP 4.15 YTM</t>
        </is>
      </c>
      <c r="D22" s="29" t="inlineStr">
        <is>
          <t>Long</t>
        </is>
      </c>
      <c r="E22" s="27" t="n">
        <v>90000</v>
      </c>
      <c r="F22" s="26" t="n">
        <v>100.21</v>
      </c>
      <c r="G22" s="27" t="n">
        <v>100.22</v>
      </c>
      <c r="H22" s="22">
        <f>IF(D22="Long", (G22-F22)/F22, IF(D22="Short", (F22-G22)/F22, ""))</f>
        <v/>
      </c>
      <c r="I22" s="29" t="inlineStr">
        <is>
          <t>v2: Tarcza Dłużna (Obligacje korporacyjne)</t>
        </is>
      </c>
    </row>
    <row r="23" ht="15.75" customHeight="1" s="37">
      <c r="A23" s="21" t="n">
        <v>46149</v>
      </c>
      <c r="B23" s="29" t="inlineStr">
        <is>
          <t>Interactive Brokers</t>
        </is>
      </c>
      <c r="C23" s="29" t="inlineStr">
        <is>
          <t>US-T GOVT Notes 3.75</t>
        </is>
      </c>
      <c r="D23" s="29" t="inlineStr">
        <is>
          <t>Long</t>
        </is>
      </c>
      <c r="E23" s="27" t="n">
        <v>90000</v>
      </c>
      <c r="F23" s="26" t="n">
        <v>98.25</v>
      </c>
      <c r="G23" s="27" t="n">
        <v>98.5</v>
      </c>
      <c r="H23" s="22">
        <f>IF(D23="Long", (G23-F23)/F23, IF(D23="Short", (F23-G23)/F23, ""))</f>
        <v/>
      </c>
      <c r="I23" s="29" t="inlineStr">
        <is>
          <t>v2: Tarcza Dłużna (Obligacje skarbowe)</t>
        </is>
      </c>
    </row>
    <row r="24" ht="15.75" customHeight="1" s="37">
      <c r="A24" s="21" t="inlineStr">
        <is>
          <t>2026-05-16</t>
        </is>
      </c>
      <c r="B24" s="29" t="inlineStr">
        <is>
          <t>Interactive Brokers</t>
        </is>
      </c>
      <c r="C24" s="29" t="inlineStr">
        <is>
          <t>TSLA</t>
        </is>
      </c>
      <c r="D24" s="29" t="inlineStr">
        <is>
          <t>Short</t>
        </is>
      </c>
      <c r="E24" s="27" t="n">
        <v>50</v>
      </c>
      <c r="F24" s="26" t="n">
        <v>411.99</v>
      </c>
      <c r="G24" s="27" t="n">
        <v>422.239990234375</v>
      </c>
      <c r="H24" s="22">
        <f>IF(D24="Long", (G24-F24)/F24, IF(D24="Short", (F24-G24)/F24, ""))</f>
        <v/>
      </c>
      <c r="I24" s="29" t="inlineStr">
        <is>
          <t>v2: Koszyk Aktywnego Tradingu</t>
        </is>
      </c>
    </row>
    <row r="25" ht="15.75" customHeight="1" s="37">
      <c r="A25" s="21" t="inlineStr">
        <is>
          <t>2026-05-16</t>
        </is>
      </c>
      <c r="B25" s="29" t="inlineStr">
        <is>
          <t>Binance Futures</t>
        </is>
      </c>
      <c r="C25" s="29" t="inlineStr">
        <is>
          <t>BTC/USDT</t>
        </is>
      </c>
      <c r="D25" s="29" t="inlineStr">
        <is>
          <t>Long</t>
        </is>
      </c>
      <c r="E25" s="30" t="n">
        <v>1033089</v>
      </c>
      <c r="F25" s="27" t="n">
        <v>79463</v>
      </c>
      <c r="G25" s="27" t="n">
        <v>77889.49000000001</v>
      </c>
      <c r="H25" s="22">
        <f>IF(D25="Long", (G25-F25)/F25, IF(D25="Short", (F25-G25)/F25, ""))</f>
        <v/>
      </c>
      <c r="I25" s="29" t="inlineStr">
        <is>
          <t>v2: Lewar 9x (Isolated Margin ~1200 USDT)</t>
        </is>
      </c>
    </row>
    <row r="26" ht="15.75" customHeight="1" s="37">
      <c r="A26" s="31" t="n"/>
      <c r="B26" s="32" t="n"/>
      <c r="C26" s="32" t="n"/>
      <c r="D26" s="32" t="n"/>
      <c r="E26" s="32" t="n"/>
      <c r="F26" s="32" t="n"/>
      <c r="G26" s="32" t="n"/>
      <c r="H26" s="32" t="n"/>
    </row>
    <row r="27" ht="15.75" customHeight="1" s="37">
      <c r="A27" s="31" t="n"/>
      <c r="B27" s="32" t="n"/>
      <c r="C27" s="32" t="n"/>
      <c r="D27" s="32" t="n"/>
      <c r="E27" s="33" t="n"/>
      <c r="F27" s="32" t="n"/>
      <c r="G27" s="32" t="n"/>
      <c r="H27" s="32" t="n"/>
    </row>
    <row r="28" ht="15.75" customHeight="1" s="37">
      <c r="A28" s="31" t="n"/>
      <c r="B28" s="32" t="n"/>
      <c r="C28" s="32" t="n"/>
      <c r="D28" s="32" t="n"/>
      <c r="E28" s="32" t="n"/>
      <c r="F28" s="32" t="n"/>
      <c r="G28" s="32" t="n"/>
      <c r="H28" s="32" t="n"/>
    </row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2">
    <mergeCell ref="A1:I1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37" min="1" max="2"/>
    <col width="18" customWidth="1" style="37" min="3" max="3"/>
    <col width="14" customWidth="1" style="37" min="4" max="4"/>
    <col width="10" customWidth="1" style="37" min="5" max="8"/>
    <col width="30" customWidth="1" style="37" min="9" max="9"/>
    <col width="8.710000000000001" customWidth="1" style="37" min="10" max="26"/>
  </cols>
  <sheetData>
    <row r="1">
      <c r="A1" s="1" t="inlineStr">
        <is>
          <t>Trejdy (opcjonalna)</t>
        </is>
      </c>
    </row>
    <row r="2">
      <c r="A2" s="8" t="inlineStr">
        <is>
          <t>Zakładka opcjonalna. Można wpisywać wszystkie transakcje, wybrane lub żadnych.</t>
        </is>
      </c>
    </row>
    <row r="4">
      <c r="A4" s="16" t="inlineStr">
        <is>
          <t>Data</t>
        </is>
      </c>
      <c r="B4" s="16" t="inlineStr">
        <is>
          <t>Platforma</t>
        </is>
      </c>
      <c r="C4" s="16" t="inlineStr">
        <is>
          <t>Instrument</t>
        </is>
      </c>
      <c r="D4" s="16" t="inlineStr">
        <is>
          <t>Typ zlecenia</t>
        </is>
      </c>
      <c r="E4" s="16" t="inlineStr">
        <is>
          <t>Kierunek</t>
        </is>
      </c>
      <c r="F4" s="16" t="inlineStr">
        <is>
          <t>Wolumen</t>
        </is>
      </c>
      <c r="G4" s="16" t="inlineStr">
        <is>
          <t>Cena</t>
        </is>
      </c>
      <c r="H4" s="16" t="inlineStr">
        <is>
          <t>Wynik %</t>
        </is>
      </c>
      <c r="I4" s="16" t="inlineStr">
        <is>
          <t>Uzasadnienie</t>
        </is>
      </c>
    </row>
    <row r="5">
      <c r="A5" s="18" t="inlineStr">
        <is>
          <t>2026-05-16</t>
        </is>
      </c>
      <c r="B5" s="18" t="inlineStr">
        <is>
          <t>Interactive Brokers</t>
        </is>
      </c>
      <c r="C5" s="18" t="inlineStr">
        <is>
          <t>MSFT</t>
        </is>
      </c>
      <c r="D5" s="18" t="inlineStr">
        <is>
          <t>Market</t>
        </is>
      </c>
      <c r="E5" s="18" t="inlineStr">
        <is>
          <t>Long</t>
        </is>
      </c>
      <c r="F5" s="18" t="n">
        <v>200</v>
      </c>
      <c r="G5" s="18" t="n">
        <v>425.695</v>
      </c>
      <c r="H5" s="18" t="n"/>
      <c r="I5" s="18" t="inlineStr">
        <is>
          <t>Current portfolio entry in a simulated trading environment.</t>
        </is>
      </c>
    </row>
    <row r="6">
      <c r="A6" s="18" t="inlineStr">
        <is>
          <t>2026-05-16</t>
        </is>
      </c>
      <c r="B6" s="18" t="inlineStr">
        <is>
          <t>Interactive Brokers</t>
        </is>
      </c>
      <c r="C6" s="18" t="inlineStr">
        <is>
          <t>TSLA</t>
        </is>
      </c>
      <c r="D6" s="18" t="inlineStr">
        <is>
          <t>Market</t>
        </is>
      </c>
      <c r="E6" s="18" t="inlineStr">
        <is>
          <t>Short</t>
        </is>
      </c>
      <c r="F6" s="18" t="n">
        <v>50</v>
      </c>
      <c r="G6" s="18" t="n">
        <v>412.171</v>
      </c>
      <c r="H6" s="18" t="n"/>
      <c r="I6" s="18" t="inlineStr">
        <is>
          <t>Current portfolio entry in a simulated trading environment.</t>
        </is>
      </c>
    </row>
    <row r="7">
      <c r="A7" s="18" t="inlineStr">
        <is>
          <t>2026-05-16</t>
        </is>
      </c>
      <c r="B7" s="18" t="inlineStr">
        <is>
          <t>Interactive Brokers</t>
        </is>
      </c>
      <c r="C7" s="18" t="inlineStr">
        <is>
          <t>GOOGL Jul</t>
        </is>
      </c>
      <c r="D7" s="18" t="inlineStr">
        <is>
          <t>Market</t>
        </is>
      </c>
      <c r="E7" s="18" t="inlineStr">
        <is>
          <t>Short</t>
        </is>
      </c>
      <c r="F7" s="18" t="n">
        <v>4</v>
      </c>
      <c r="G7" s="18" t="n">
        <v>4.695</v>
      </c>
      <c r="H7" s="18" t="n"/>
      <c r="I7" s="18" t="inlineStr">
        <is>
          <t>Current portfolio entry in a simulated trading environment.</t>
        </is>
      </c>
    </row>
    <row r="8">
      <c r="A8" s="18" t="inlineStr">
        <is>
          <t>2026-05-16</t>
        </is>
      </c>
      <c r="B8" s="18" t="inlineStr">
        <is>
          <t>Interactive Brokers</t>
        </is>
      </c>
      <c r="C8" s="18" t="inlineStr">
        <is>
          <t>V Jun12'26</t>
        </is>
      </c>
      <c r="D8" s="18" t="inlineStr">
        <is>
          <t>Market</t>
        </is>
      </c>
      <c r="E8" s="18" t="inlineStr">
        <is>
          <t>Short</t>
        </is>
      </c>
      <c r="F8" s="18" t="n">
        <v>4</v>
      </c>
      <c r="G8" s="18" t="n">
        <v>2.445</v>
      </c>
      <c r="H8" s="18" t="n"/>
      <c r="I8" s="18" t="inlineStr">
        <is>
          <t>Current portfolio entry in a simulated trading environment.</t>
        </is>
      </c>
    </row>
    <row r="9">
      <c r="A9" s="18" t="inlineStr">
        <is>
          <t>2026-05-16</t>
        </is>
      </c>
      <c r="B9" s="18" t="inlineStr">
        <is>
          <t>Interactive Brokers</t>
        </is>
      </c>
      <c r="C9" s="18" t="inlineStr">
        <is>
          <t>US-T GOVT</t>
        </is>
      </c>
      <c r="D9" s="18" t="inlineStr">
        <is>
          <t>Market</t>
        </is>
      </c>
      <c r="E9" s="18" t="inlineStr">
        <is>
          <t>Short</t>
        </is>
      </c>
      <c r="F9" s="18" t="n">
        <v>11</v>
      </c>
      <c r="G9" s="18" t="n">
        <v>99.94634499999999</v>
      </c>
      <c r="H9" s="18" t="n"/>
      <c r="I9" s="18" t="inlineStr">
        <is>
          <t>Current portfolio entry in a simulated trading environment.</t>
        </is>
      </c>
    </row>
    <row r="10">
      <c r="A10" s="18" t="inlineStr">
        <is>
          <t>2026-05-16</t>
        </is>
      </c>
      <c r="B10" s="18" t="inlineStr">
        <is>
          <t>Interactive Brokers</t>
        </is>
      </c>
      <c r="C10" s="18" t="inlineStr">
        <is>
          <t>AAPL CORP</t>
        </is>
      </c>
      <c r="D10" s="18" t="inlineStr">
        <is>
          <t>Market</t>
        </is>
      </c>
      <c r="E10" s="18" t="inlineStr">
        <is>
          <t>Short</t>
        </is>
      </c>
      <c r="F10" s="18" t="n">
        <v>131</v>
      </c>
      <c r="G10" s="18" t="n">
        <v>100.22134</v>
      </c>
      <c r="H10" s="18" t="n"/>
      <c r="I10" s="18" t="inlineStr">
        <is>
          <t>Current portfolio entry in a simulated trading environment.</t>
        </is>
      </c>
    </row>
    <row r="11">
      <c r="A11" s="18" t="inlineStr">
        <is>
          <t>2026-05-16</t>
        </is>
      </c>
      <c r="B11" s="18" t="inlineStr">
        <is>
          <t>Interactive Brokers</t>
        </is>
      </c>
      <c r="C11" s="18" t="inlineStr">
        <is>
          <t>JNJ Jun1'2</t>
        </is>
      </c>
      <c r="D11" s="18" t="inlineStr">
        <is>
          <t>Market</t>
        </is>
      </c>
      <c r="E11" s="18" t="inlineStr">
        <is>
          <t>Short</t>
        </is>
      </c>
      <c r="F11" s="18" t="n">
        <v>6</v>
      </c>
      <c r="G11" s="18" t="n">
        <v>2.125</v>
      </c>
      <c r="H11" s="18" t="n"/>
      <c r="I11" s="18" t="inlineStr">
        <is>
          <t>Current portfolio entry in a simulated trading environment.</t>
        </is>
      </c>
    </row>
    <row r="12">
      <c r="A12" s="18" t="inlineStr">
        <is>
          <t>2026-05-16</t>
        </is>
      </c>
      <c r="B12" s="18" t="inlineStr">
        <is>
          <t>Interactive Brokers</t>
        </is>
      </c>
      <c r="C12" s="18" t="inlineStr">
        <is>
          <t>AMZN Jun1</t>
        </is>
      </c>
      <c r="D12" s="18" t="inlineStr">
        <is>
          <t>Market</t>
        </is>
      </c>
      <c r="E12" s="18" t="inlineStr">
        <is>
          <t>Short</t>
        </is>
      </c>
      <c r="F12" s="18" t="n">
        <v>7</v>
      </c>
      <c r="G12" s="18" t="n">
        <v>3.245</v>
      </c>
      <c r="H12" s="18" t="n"/>
      <c r="I12" s="18" t="inlineStr">
        <is>
          <t>Current portfolio entry in a simulated trading environment.</t>
        </is>
      </c>
    </row>
    <row r="13">
      <c r="A13" s="18" t="inlineStr">
        <is>
          <t>2026-05-16</t>
        </is>
      </c>
      <c r="B13" s="18" t="inlineStr">
        <is>
          <t>Interactive Brokers</t>
        </is>
      </c>
      <c r="C13" s="18" t="inlineStr">
        <is>
          <t>MSFT Jun1</t>
        </is>
      </c>
      <c r="D13" s="18" t="inlineStr">
        <is>
          <t>Market</t>
        </is>
      </c>
      <c r="E13" s="18" t="inlineStr">
        <is>
          <t>Short</t>
        </is>
      </c>
      <c r="F13" s="18" t="n">
        <v>2</v>
      </c>
      <c r="G13" s="18" t="n">
        <v>14.519</v>
      </c>
      <c r="H13" s="18" t="n"/>
      <c r="I13" s="18" t="inlineStr">
        <is>
          <t>Current portfolio entry in a simulated trading environment.</t>
        </is>
      </c>
    </row>
    <row r="14">
      <c r="A14" s="18" t="inlineStr">
        <is>
          <t>2026-05-16</t>
        </is>
      </c>
      <c r="B14" s="18" t="inlineStr">
        <is>
          <t>Interactive Brokers</t>
        </is>
      </c>
      <c r="C14" s="18" t="inlineStr">
        <is>
          <t>GOOGL</t>
        </is>
      </c>
      <c r="D14" s="18" t="inlineStr">
        <is>
          <t>Market</t>
        </is>
      </c>
      <c r="E14" s="18" t="inlineStr">
        <is>
          <t>Long</t>
        </is>
      </c>
      <c r="F14" s="18" t="n">
        <v>400</v>
      </c>
      <c r="G14" s="18" t="n">
        <v>396.836</v>
      </c>
      <c r="H14" s="18" t="n"/>
      <c r="I14" s="18" t="inlineStr">
        <is>
          <t>Current portfolio entry in a simulated trading environment.</t>
        </is>
      </c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  <c r="I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  <c r="I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 ht="15.75" customHeight="1" s="37">
      <c r="A21" s="18" t="n"/>
      <c r="B21" s="18" t="n"/>
      <c r="C21" s="18" t="n"/>
      <c r="D21" s="18" t="n"/>
      <c r="E21" s="18" t="n"/>
      <c r="F21" s="18" t="n"/>
      <c r="G21" s="18" t="n"/>
      <c r="H21" s="18" t="n"/>
      <c r="I21" s="18" t="n"/>
    </row>
    <row r="22" ht="15.75" customHeight="1" s="37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</row>
    <row r="23" ht="15.75" customHeight="1" s="37">
      <c r="A23" s="18" t="n"/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 ht="15.75" customHeight="1" s="37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</row>
    <row r="25" ht="15.75" customHeight="1" s="37">
      <c r="A25" s="18" t="n"/>
      <c r="B25" s="18" t="n"/>
      <c r="C25" s="18" t="n"/>
      <c r="D25" s="18" t="n"/>
      <c r="E25" s="18" t="n"/>
      <c r="F25" s="18" t="n"/>
      <c r="G25" s="18" t="n"/>
      <c r="H25" s="18" t="n"/>
      <c r="I25" s="18" t="n"/>
    </row>
    <row r="26" ht="15.75" customHeight="1" s="37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 ht="15.75" customHeight="1" s="37">
      <c r="A27" s="18" t="n"/>
      <c r="B27" s="18" t="n"/>
      <c r="C27" s="18" t="n"/>
      <c r="D27" s="18" t="n"/>
      <c r="E27" s="18" t="n"/>
      <c r="F27" s="18" t="n"/>
      <c r="G27" s="18" t="n"/>
      <c r="H27" s="18" t="n"/>
      <c r="I27" s="18" t="n"/>
    </row>
    <row r="28" ht="15.75" customHeight="1" s="37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</row>
    <row r="29" ht="15.75" customHeight="1" s="37">
      <c r="A29" s="18" t="n"/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2">
    <mergeCell ref="A1:I1"/>
    <mergeCell ref="A2:I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ColWidth="14.43" defaultRowHeight="15" customHeight="1"/>
  <cols>
    <col width="25" customWidth="1" style="37" min="1" max="1"/>
    <col width="32" customWidth="1" style="37" min="2" max="4"/>
    <col width="8.710000000000001" customWidth="1" style="37" min="5" max="26"/>
  </cols>
  <sheetData>
    <row r="1">
      <c r="A1" s="1" t="inlineStr">
        <is>
          <t>Refleksje</t>
        </is>
      </c>
    </row>
    <row r="2">
      <c r="A2" s="8" t="inlineStr">
        <is>
          <t>Krótkie podsumowanie po każdym okresie między zjazdami.</t>
        </is>
      </c>
    </row>
    <row r="4">
      <c r="A4" s="16" t="inlineStr">
        <is>
          <t>Okres</t>
        </is>
      </c>
      <c r="B4" s="16" t="inlineStr">
        <is>
          <t>Co zadziałało</t>
        </is>
      </c>
      <c r="C4" s="16" t="inlineStr">
        <is>
          <t>Co nie zadziałało</t>
        </is>
      </c>
      <c r="D4" s="16" t="inlineStr">
        <is>
          <t>Co zmieniam</t>
        </is>
      </c>
    </row>
    <row r="5" ht="79.5" customHeight="1" s="37">
      <c r="A5" s="34" t="inlineStr">
        <is>
          <t>Po zjeździe 2 (przed zjazdem 3)</t>
        </is>
      </c>
      <c r="B5" s="36" t="inlineStr">
        <is>
          <t>Skuteczne ominięcie dyrektywy PRIIPs/KID. Brak możliwości zakupu amerykańskich ETF-ów typu SPY wymusił rolę "Portfolio Managera" i zaowocował udaną budową własnego, syntetycznego indeksu (MSFT, GOOGL, obligacje).
Perfekcyjne zarządzanie marginem w środowisku wielowalutowym (EUR/USD). Użycie miliona euro jako Net Liquidity i pozostawienie ujemnego salda w USD zadziałało jak darmowy lewar, całkowicie neutralizując koszty natychmiastowego przewalutowania.
Ochrona kapitału na Binance Futures. Zastosowanie trybu Isolated Margin bezbłędnie ochroniło główne saldo konta (~253 000 USDT) przed ryzykiem likwidacji ogromnej pozycji na BTC przy dźwigni 100x.</t>
        </is>
      </c>
      <c r="C5" s="36" t="inlineStr">
        <is>
          <t>Zjawisko "Negative Carry" na ujemnym saldzie w USD: Strategia użycia kapitału w EUR jako zabezpieczenia (Net Liquidity) w celu darmowego lewarowania zakupów w USA jest świetna kapitałowo, ale generuje znaczący dług gotówkowy (~-400k USD). Przy obecnym, jastrzębim środowisku stóp procentowych w USA (bazujących na wskaźniku SOFR), odsetki pobierane przez Interactive Brokers za ten margin są wysokie. Zauważyłem, że rentowność mojej "Tarczy Dłużnej" (obligacje AAPL 4.15% oraz US-T 3.75%) jest niższa niż koszt obsługi długu w USD. Powoduje to ujemny przepływ pieniężny (negative carry). Wniosek: Koszt tego lewara musi być zasypywany przez agresywne zbieranie premii z opcji i wzrost kapitałowy akcji z grupy "Core".
Koszty płynnościowe (Szerokie Spready) na rynku opcji: Przy wystawianiu kontraktów ubezpieczeniowych (Cash-Secured Puts na AMZN, JNJ, V) zaobserwowałem dużą rozpiętość między ofertami kupna (Bid) a sprzedaży (Ask) u Market Makerów. Szeroki spread oznacza, że księgowy zysk z opcji pojawia się wolniej, a ewentualne przedwczesne zamknięcie pozycji (odkupienie wystawionego kontraktu w celu uwolnienia marginu) wiązałoby się ze sporą "karą" za brak płynności (tzw. slippage). Wniosek: Narzuca to bardzo sztywne ramy strategii – opcje trzeba trzymać praktycznie do samego dnia wygasania, co zmniejsza elastyczność w rotowaniu kapitałem na inne okazje.</t>
        </is>
      </c>
      <c r="D5" s="36" t="inlineStr">
        <is>
          <t>Strategia v2 w pełni zaimplementowana. Obecny cel to ścisłe monitorowanie terminów wygasania czerwcowych opcji (zwłaszcza Call na GOOGL) pod kątem potencjalnego rolowania (rolling) oraz śledzenie kosztu odsetkowego zadłużenia w USD w stosunku do rentowności "Tarczy Dłużnej"</t>
        </is>
      </c>
    </row>
    <row r="6" ht="79.5" customHeight="1" s="37">
      <c r="A6" s="34" t="inlineStr">
        <is>
          <t>Po zjeździe 3 (przed zjazdem 4)</t>
        </is>
      </c>
      <c r="B6" s="36" t="n"/>
      <c r="C6" s="36" t="n"/>
      <c r="D6" s="36" t="n"/>
    </row>
    <row r="7" ht="79.5" customHeight="1" s="37">
      <c r="A7" s="34" t="inlineStr">
        <is>
          <t>Podsumowanie końcowe</t>
        </is>
      </c>
      <c r="B7" s="36" t="n"/>
      <c r="C7" s="36" t="n"/>
      <c r="D7" s="36" t="n"/>
    </row>
    <row r="8">
      <c r="A8" s="0" t="inlineStr">
        <is>
          <t>Automatyczne Podsumowanie</t>
        </is>
      </c>
      <c r="B8" s="0" t="inlineStr">
        <is>
          <t>Podstawowe pozycje akcyjne oraz strategie dywidendowe skutecznie budowały bazę portfela, zapewniając stabilność i potencjalny wzrost kapitału. Instrumenty dłużne i lokaty cyfrowe efektywnie pełniły rolę ochronną i dywersyfikacyjną, stabilizując ogólną wartość portfela.</t>
        </is>
      </c>
      <c r="C8" s="0" t="inlineStr">
        <is>
          <t>Segment aktywnego tradingu oraz pozycji lewarowanych, w szczególności ekspozycja na BTC/USDT z wysoką dźwignią, generuje podwyższone ryzyko i wymaga natychmiastowej rewizji. Strategie opcyjne typu 'maszynka ubezpieczeniowa' wymagają bacznego monitorowania pod kątem potencjalnego przejęcia aktywów i zarządzania ryzykiem.</t>
        </is>
      </c>
      <c r="D8" s="0" t="inlineStr">
        <is>
          <t>Konieczne jest ograniczenie ekspozycji na pozycje wysokolewarowane oraz przemyślenie roli aktywnego tradingu w kontekście ogólnego profilu ryzyka portfela. Należy również dokonać przeglądu strategii opcyjnych, aby upewnić się, że są one zgodne z apetytem na ryzyko i celami portfela.</t>
        </is>
      </c>
    </row>
    <row r="21" ht="15.75" customHeight="1" s="37"/>
    <row r="22" ht="15.75" customHeight="1" s="37"/>
    <row r="23" ht="15.75" customHeight="1" s="37"/>
    <row r="24" ht="15.75" customHeight="1" s="37"/>
    <row r="25" ht="15.75" customHeight="1" s="37"/>
    <row r="26" ht="15.75" customHeight="1" s="37"/>
    <row r="27" ht="15.75" customHeight="1" s="37"/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2">
    <mergeCell ref="A1:D1"/>
    <mergeCell ref="A2:D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2026-04-12T10:38:44Z</dcterms:created>
  <dcterms:modified xsi:type="dcterms:W3CDTF">2026-05-16T10:50:46Z</dcterms:modified>
</cp:coreProperties>
</file>