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4"/>
    <sheet state="visible" name="Strategia" sheetId="2" r:id="rId5"/>
    <sheet state="visible" name="Salda" sheetId="3" r:id="rId6"/>
    <sheet state="visible" name="Pozycje otwarte" sheetId="4" r:id="rId7"/>
    <sheet state="visible" name="Trejdy" sheetId="5" r:id="rId8"/>
    <sheet state="visible" name="Refleksje" sheetId="6" r:id="rId9"/>
  </sheets>
  <definedNames/>
  <calcPr/>
  <extLst>
    <ext uri="GoogleSheetsCustomDataVersion2">
      <go:sheetsCustomData xmlns:go="http://customooxmlschemas.google.com/" r:id="rId10" roundtripDataChecksum="VJHxdF1/KSdUsfdXfAE2wFdnr4U9Aiw3GySQP+4gJhs="/>
    </ext>
  </extLst>
</workbook>
</file>

<file path=xl/sharedStrings.xml><?xml version="1.0" encoding="utf-8"?>
<sst xmlns="http://schemas.openxmlformats.org/spreadsheetml/2006/main" count="212" uniqueCount="151">
  <si>
    <t>Dziennik inwestora — Gra Inwestycyjna, Smart Inwestor, WSB-NLU</t>
  </si>
  <si>
    <t>Imię i nazwisko</t>
  </si>
  <si>
    <t>JW</t>
  </si>
  <si>
    <t>Grupa</t>
  </si>
  <si>
    <t>E-mail</t>
  </si>
  <si>
    <t>Data rozpoczęcia gry</t>
  </si>
  <si>
    <t>Jak korzystać</t>
  </si>
  <si>
    <t>• Strategia: zapis przyjętej strategii, każda zmiana to nowa wersja w nowym wierszu.</t>
  </si>
  <si>
    <t>• Salda: obowiązkowe, wpisywane przed każdym zjazdem. Procenty liczą się automatycznie.</t>
  </si>
  <si>
    <t>• Pozycje otwarte: obowiązkowe, aktualizowane przed każdym zjazdem.</t>
  </si>
  <si>
    <t>• Trejdy: zakładka opcjonalna, do uznania.</t>
  </si>
  <si>
    <t>• Refleksje: krótkie podsumowanie po każdym okresie między zjazdami.</t>
  </si>
  <si>
    <t>• Format dowolny pod warunkiem zachowania struktury obowiązkowych zakładek.</t>
  </si>
  <si>
    <t>Historia strategii inwestycyjnej</t>
  </si>
  <si>
    <t>Każda istotna zmiana to nowa wersja. Stare wersje zostają jako archiwum.</t>
  </si>
  <si>
    <t>Wersja</t>
  </si>
  <si>
    <t>Data</t>
  </si>
  <si>
    <t>Klasa aktywów</t>
  </si>
  <si>
    <t>Horyzont</t>
  </si>
  <si>
    <t>Kryteria wejścia/wyjścia</t>
  </si>
  <si>
    <t>Zarządzanie ryzykiem</t>
  </si>
  <si>
    <t>v1 (Core)</t>
  </si>
  <si>
    <t>GPW: ETF Obligacji Skarbowych (TBSP)</t>
  </si>
  <si>
    <t>Długoterminowy (Lata)</t>
  </si>
  <si>
    <t>Wejście: Zlecenie Limit, zakup na start. Wyjście: Brak (tylko rebalancing).</t>
  </si>
  <si>
    <t>Część bezpieczna. 50% kapitału PLN. Brak dźwigni.</t>
  </si>
  <si>
    <t>GPW: Akcje Dywidendowe (PZU, KTY, ACP, KRU, DOM)</t>
  </si>
  <si>
    <t>Wejście: Zlecenie Limit. Wyjście: Drastyczna zmiana polityki dywidendowej spółki.</t>
  </si>
  <si>
    <t>Max 10% kapitału PLN na jedną spółkę. Brak dźwigni.</t>
  </si>
  <si>
    <t>Saxo: ETF Akcyjne (Globalni Arystokraci + Min. Volatility)</t>
  </si>
  <si>
    <t>Wejście: Zlecenie Limit (zakup w USD). Wyjście: Tylko przy rebalancingu lub wycofaniu funduszu.</t>
  </si>
  <si>
    <t>60% kapitału USD. Zakup w walucie bazowej (brak ryzyka FX względem instrumentu).</t>
  </si>
  <si>
    <t>Saxo: ETF Obligacje Corp. + Rynek Pieniężny (FED)</t>
  </si>
  <si>
    <t>Wejście: Zlecenie Limit. Wyjście: Brak (poduszka gotówkowa).</t>
  </si>
  <si>
    <t>40% kapitału USD. Całkowity brak dźwigni finansowej (Margin: 0%).</t>
  </si>
  <si>
    <t>Binance: Stablecoiny (USDT)</t>
  </si>
  <si>
    <t>Średnioterminowy</t>
  </si>
  <si>
    <t>Wejście: Rynek Spot / Earn. Wyjście: Potrzeba dokapitalizowania rynku krypto.</t>
  </si>
  <si>
    <t>80% alokacji krypto. Pełni funkcję bezpiecznej poduszki ("lokata").</t>
  </si>
  <si>
    <t>Binance: Krypto (BTC, ETH)</t>
  </si>
  <si>
    <t>Wejście: Rynek Spot. Wyjście: Cykliczna hossa lub rebalancing.</t>
  </si>
  <si>
    <t>Tylko 20% alokacji krypto (15% BTC, 5% ETH). Zakaz rynku Futures.</t>
  </si>
  <si>
    <t>v2 (Satellite)</t>
  </si>
  <si>
    <t>Satelita: Aktywa Ryzykowne / Spekulacja</t>
  </si>
  <si>
    <t>Krótkoterminowy (Dni/Tygodnie)</t>
  </si>
  <si>
    <t>Wejście: Zgodnie z analizą (np. przecięcie średnich, wybicie). Wyjście: Ścisły Stop Loss (np. -5%) / Take Profit.</t>
  </si>
  <si>
    <t>limit: około 5% całkowitego kapitału. Możliwość testowania dźwigni na małych kwotach.</t>
  </si>
  <si>
    <t>v2 (Instytucjonalna)</t>
  </si>
  <si>
    <t>Interactive Brokers: Fundament Akcyjny + Tarcza Dłużna</t>
  </si>
  <si>
    <t>Długoterminowy</t>
  </si>
  <si>
    <t>Wejście: Pominięcie dyrektywy PRIIPs/KID (brak możliwości kupna amerykańskich ETF) poprzez samodzielne zbudowanie bazy akcyjnej (MSFT, GOOGL) oraz bezpośredni zakup amerykańskiego długu (Apple, US-T).</t>
  </si>
  <si>
    <t>Wykorzystanie kapitału EUR (~1 000 000 EUR) jako Net Liquidity i darmowego lewara. Celowy brak przewalutowania. Aktywa kupowane w USD generują ujemne saldo gotówkowe (~-400k USD).</t>
  </si>
  <si>
    <t>Interactive Brokers: Rynek Opcji (Covered Call &amp; Cash-Secured Puts)</t>
  </si>
  <si>
    <t>Średnioterminowy (do wygasania kontraktów, np. Czerwiec '26)</t>
  </si>
  <si>
    <t>Wejście: Wystawianie Calli na posiadane już akcje (GOOGL). Wystawianie Putów jako "maszynka ubezpieczeniowa" pod wolny margin (AMZN, JNJ, V). Wyjście: Inkaso premii z upływem czasu lub ew. rolowanie/przydział.</t>
  </si>
  <si>
    <t>Pełne pokrycie dla opcji Call (Covered). Dywersyfikacja sektorowa dla wystawionych Putów.</t>
  </si>
  <si>
    <t>Binance Futures: Koszyk Ekstremalnego Ryzyka</t>
  </si>
  <si>
    <t>Krótkoterminowy / Spekulacyjny</t>
  </si>
  <si>
    <t>Wejście: Zajęcie pozycji typu LONG (Market) na instrumencie BTC/USDT z maksymalnym lewarem, zgodnie z wytycznymi zjazdu.</t>
  </si>
  <si>
    <t>Bezwzględny tryb "Isolated Margin". Przy lewarze 100x na pozycję 2 BTC (ponad 120 000 USD) ryzyko jest zamrożone i ograniczone do zaledwie ok. 1200 USDT kapitału własnego.</t>
  </si>
  <si>
    <t>Salda i stopy zwrotu</t>
  </si>
  <si>
    <t>Wpisuj saldo przed każdym zjazdem. Procenty liczą się automatycznie względem kapitału startowego.</t>
  </si>
  <si>
    <t>Kapitał startowy</t>
  </si>
  <si>
    <t>GPW (PLN)</t>
  </si>
  <si>
    <t>Saxo (USD)</t>
  </si>
  <si>
    <t>Binance Spot (USDT)</t>
  </si>
  <si>
    <t>Binance Futures (USDT)</t>
  </si>
  <si>
    <t>IBKR (EUR)</t>
  </si>
  <si>
    <t>Punkt kontrolny</t>
  </si>
  <si>
    <t>GPW saldo</t>
  </si>
  <si>
    <t>GPW %</t>
  </si>
  <si>
    <t>Saxo saldo</t>
  </si>
  <si>
    <t>Saxo %</t>
  </si>
  <si>
    <t>Bin Spot</t>
  </si>
  <si>
    <t>Spot %</t>
  </si>
  <si>
    <t>Bin Futures</t>
  </si>
  <si>
    <t>Futures %</t>
  </si>
  <si>
    <t>IBKR saldo</t>
  </si>
  <si>
    <t>IBKR %</t>
  </si>
  <si>
    <t>Start gry</t>
  </si>
  <si>
    <t>Przed zjazdem 3</t>
  </si>
  <si>
    <t>Przed zjazdem 4 (raport końcowy)</t>
  </si>
  <si>
    <t>Pozycje otwarte</t>
  </si>
  <si>
    <t>Aktualizowane przed każdym zjazdem. Wszystkie aktywne pozycje na trzech platformach.</t>
  </si>
  <si>
    <t>Data aktualizacji</t>
  </si>
  <si>
    <t>Platforma</t>
  </si>
  <si>
    <t>Instrument</t>
  </si>
  <si>
    <t>Kierunek</t>
  </si>
  <si>
    <t>Wolumen</t>
  </si>
  <si>
    <t>Cena wejścia</t>
  </si>
  <si>
    <t>Cena bieżąca</t>
  </si>
  <si>
    <t>Wynik %</t>
  </si>
  <si>
    <t>Komentarz</t>
  </si>
  <si>
    <t>GPW Trader</t>
  </si>
  <si>
    <t>ETFBTBSP</t>
  </si>
  <si>
    <t>Long</t>
  </si>
  <si>
    <t>Część dłużna CORE (PLN)</t>
  </si>
  <si>
    <t>PZU</t>
  </si>
  <si>
    <t>Dywidendowa baza</t>
  </si>
  <si>
    <t>KETY</t>
  </si>
  <si>
    <t>ASSECOPOL</t>
  </si>
  <si>
    <t>KRUK</t>
  </si>
  <si>
    <t>DOMDEV</t>
  </si>
  <si>
    <t>Saxo</t>
  </si>
  <si>
    <t>Amundi Fed Funds (USD)</t>
  </si>
  <si>
    <t>Cyfrowa lokata (USD)</t>
  </si>
  <si>
    <t>iShares USD Corp Bond</t>
  </si>
  <si>
    <t>Obligacje korporacyjne (USD)</t>
  </si>
  <si>
    <t>State St SPDR Glb Dvd</t>
  </si>
  <si>
    <t>Arystokraci Dywidendowi</t>
  </si>
  <si>
    <t>iShares Edge Min Vol</t>
  </si>
  <si>
    <t>Ochrona przed zmiennością</t>
  </si>
  <si>
    <t>State St SPDR S&amp;P 500</t>
  </si>
  <si>
    <t>Szeroki rynek</t>
  </si>
  <si>
    <t>Interactive Brokers</t>
  </si>
  <si>
    <t>MSFT</t>
  </si>
  <si>
    <t>v2: Fundament Akcyjny (Core)</t>
  </si>
  <si>
    <t>GOOGL</t>
  </si>
  <si>
    <t>GOOGL Call 430 (Czerwiec '26)</t>
  </si>
  <si>
    <t>v2: Opcje - Dochód Pasywny (Covered Call)</t>
  </si>
  <si>
    <t>AMZN Put</t>
  </si>
  <si>
    <t>Short</t>
  </si>
  <si>
    <t>v2: Opcje - Maszynka ubezpieczeniowa</t>
  </si>
  <si>
    <t>JNJ Put</t>
  </si>
  <si>
    <t>V Put</t>
  </si>
  <si>
    <t>AAPL CORP 4.15 YTM</t>
  </si>
  <si>
    <t>v2: Tarcza Dłużna (Obligacje korporacyjne)</t>
  </si>
  <si>
    <t>US-T GOVT Notes 3.75</t>
  </si>
  <si>
    <t>v2: Tarcza Dłużna (Obligacje skarbowe)</t>
  </si>
  <si>
    <t>TSLA</t>
  </si>
  <si>
    <t>v2: Koszyk Aktywnego Tradingu</t>
  </si>
  <si>
    <t>Binance Futures</t>
  </si>
  <si>
    <t>BTC/USDT</t>
  </si>
  <si>
    <t>v2: Lewar 9x (Isolated Margin ~1200 USDT)</t>
  </si>
  <si>
    <t>Trejdy (opcjonalna)</t>
  </si>
  <si>
    <t>Zakładka opcjonalna. Można wpisywać wszystkie transakcje, wybrane lub żadnych.</t>
  </si>
  <si>
    <t>Typ zlecenia</t>
  </si>
  <si>
    <t>Cena</t>
  </si>
  <si>
    <t>Uzasadnienie</t>
  </si>
  <si>
    <t>Refleksje</t>
  </si>
  <si>
    <t>Krótkie podsumowanie po każdym okresie między zjazdami.</t>
  </si>
  <si>
    <t>Okres</t>
  </si>
  <si>
    <t>Co zadziałało</t>
  </si>
  <si>
    <t>Co nie zadziałało</t>
  </si>
  <si>
    <t>Co zmieniam</t>
  </si>
  <si>
    <t>Po zjeździe 2 (przed zjazdem 3)</t>
  </si>
  <si>
    <t>Skuteczne ominięcie dyrektywy PRIIPs/KID. Brak możliwości zakupu amerykańskich ETF-ów typu SPY wymusił rolę "Portfolio Managera" i zaowocował udaną budową własnego, syntetycznego indeksu (MSFT, GOOGL, obligacje).
Perfekcyjne zarządzanie marginem w środowisku wielowalutowym (EUR/USD). Użycie miliona euro jako Net Liquidity i pozostawienie ujemnego salda w USD zadziałało jak darmowy lewar, całkowicie neutralizując koszty natychmiastowego przewalutowania.
Ochrona kapitału na Binance Futures. Zastosowanie trybu Isolated Margin bezbłędnie ochroniło główne saldo konta (~253 000 USDT) przed ryzykiem likwidacji ogromnej pozycji na BTC przy dźwigni 100x.</t>
  </si>
  <si>
    <t>Zjawisko "Negative Carry" na ujemnym saldzie w USD: Strategia użycia kapitału w EUR jako zabezpieczenia (Net Liquidity) w celu darmowego lewarowania zakupów w USA jest świetna kapitałowo, ale generuje znaczący dług gotówkowy (~-400k USD). Przy obecnym, jastrzębim środowisku stóp procentowych w USA (bazujących na wskaźniku SOFR), odsetki pobierane przez Interactive Brokers za ten margin są wysokie. Zauważyłem, że rentowność mojej "Tarczy Dłużnej" (obligacje AAPL 4.15% oraz US-T 3.75%) jest niższa niż koszt obsługi długu w USD. Powoduje to ujemny przepływ pieniężny (negative carry). Wniosek: Koszt tego lewara musi być zasypywany przez agresywne zbieranie premii z opcji i wzrost kapitałowy akcji z grupy "Core".
Koszty płynnościowe (Szerokie Spready) na rynku opcji: Przy wystawianiu kontraktów ubezpieczeniowych (Cash-Secured Puts na AMZN, JNJ, V) zaobserwowałem dużą rozpiętość między ofertami kupna (Bid) a sprzedaży (Ask) u Market Makerów. Szeroki spread oznacza, że księgowy zysk z opcji pojawia się wolniej, a ewentualne przedwczesne zamknięcie pozycji (odkupienie wystawionego kontraktu w celu uwolnienia marginu) wiązałoby się ze sporą "karą" za brak płynności (tzw. slippage). Wniosek: Narzuca to bardzo sztywne ramy strategii – opcje trzeba trzymać praktycznie do samego dnia wygasania, co zmniejsza elastyczność w rotowaniu kapitałem na inne okazje.</t>
  </si>
  <si>
    <t>Strategia v2 w pełni zaimplementowana. Obecny cel to ścisłe monitorowanie terminów wygasania czerwcowych opcji (zwłaszcza Call na GOOGL) pod kątem potencjalnego rolowania (rolling) oraz śledzenie kosztu odsetkowego zadłużenia w USD w stosunku do rentowności "Tarczy Dłużnej"</t>
  </si>
  <si>
    <t>Po zjeździe 3 (przed zjazdem 4)</t>
  </si>
  <si>
    <t>Podsumowanie końcowe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</si>
</sst>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yy.mm.dd"/>
    <numFmt numFmtId="166" formatCode="0.0%;[RED]\(0.0%\);\-"/>
    <numFmt numFmtId="167" formatCode="yyyy-MM-dd"/>
    <numFmt numFmtId="168" formatCode="yyyy-mm-dd"/>
    <numFmt numFmtId="169" formatCode="yyyy.m"/>
  </numFmts>
  <fonts count="10">
    <font>
      <sz val="11.0"/>
      <color theme="1"/>
      <name val="Calibri"/>
      <scheme val="minor"/>
    </font>
    <font>
      <b/>
      <sz val="14.0"/>
      <color theme="1"/>
      <name val="Arial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color theme="1"/>
      <name val="Calibri"/>
      <scheme val="minor"/>
    </font>
    <font>
      <sz val="10.0"/>
      <color rgb="FF0000FF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9E6"/>
        <bgColor rgb="FFFFF9E6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readingOrder="0"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3" numFmtId="164" xfId="0" applyAlignment="1" applyBorder="1" applyFont="1" applyNumberFormat="1">
      <alignment readingOrder="0" shrinkToFit="0" vertical="bottom" wrapText="0"/>
    </xf>
    <xf borderId="2" fillId="3" fontId="2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0"/>
    </xf>
    <xf borderId="1" fillId="4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1" fillId="3" fontId="2" numFmtId="0" xfId="0" applyAlignment="1" applyBorder="1" applyFont="1">
      <alignment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4" fontId="6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1" fillId="0" fontId="3" numFmtId="166" xfId="0" applyAlignment="1" applyBorder="1" applyFont="1" applyNumberFormat="1">
      <alignment shrinkToFit="0" vertical="bottom" wrapText="0"/>
    </xf>
    <xf borderId="1" fillId="4" fontId="6" numFmtId="167" xfId="0" applyAlignment="1" applyBorder="1" applyFont="1" applyNumberFormat="1">
      <alignment horizontal="center" shrinkToFit="0" vertical="center" wrapText="1"/>
    </xf>
    <xf borderId="0" fillId="0" fontId="7" numFmtId="167" xfId="0" applyAlignment="1" applyFont="1" applyNumberFormat="1">
      <alignment readingOrder="0"/>
    </xf>
    <xf borderId="0" fillId="0" fontId="7" numFmtId="166" xfId="0" applyFont="1" applyNumberFormat="1"/>
    <xf borderId="0" fillId="0" fontId="7" numFmtId="168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4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7" numFmtId="169" xfId="0" applyAlignment="1" applyFont="1" applyNumberFormat="1">
      <alignment horizontal="right" readingOrder="0" vertical="bottom"/>
    </xf>
    <xf borderId="0" fillId="0" fontId="9" numFmtId="168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1" fillId="0" fontId="2" numFmtId="0" xfId="0" applyAlignment="1" applyBorder="1" applyFont="1">
      <alignment shrinkToFit="0" vertical="top" wrapText="1"/>
    </xf>
    <xf borderId="1" fillId="0" fontId="3" numFmtId="0" xfId="0" applyAlignment="1" applyBorder="1" applyFont="1">
      <alignment readingOrder="0" shrinkToFit="0" vertical="top" wrapText="1"/>
    </xf>
    <xf borderId="1" fillId="0" fontId="3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28.0"/>
    <col customWidth="1" min="3" max="6" width="12.0"/>
    <col customWidth="1" min="7" max="26" width="8.71"/>
  </cols>
  <sheetData>
    <row r="1">
      <c r="A1" s="1" t="s">
        <v>0</v>
      </c>
    </row>
    <row r="3">
      <c r="A3" s="2" t="s">
        <v>1</v>
      </c>
      <c r="B3" s="3" t="s">
        <v>2</v>
      </c>
    </row>
    <row r="4">
      <c r="A4" s="2" t="s">
        <v>3</v>
      </c>
      <c r="B4" s="4"/>
    </row>
    <row r="5">
      <c r="A5" s="2" t="s">
        <v>4</v>
      </c>
      <c r="B5" s="4"/>
    </row>
    <row r="6">
      <c r="A6" s="2" t="s">
        <v>5</v>
      </c>
      <c r="B6" s="5">
        <v>46115.0</v>
      </c>
    </row>
    <row r="8">
      <c r="A8" s="6" t="s">
        <v>6</v>
      </c>
    </row>
    <row r="9" ht="27.75" customHeight="1">
      <c r="A9" s="7" t="s">
        <v>7</v>
      </c>
    </row>
    <row r="10" ht="27.75" customHeight="1">
      <c r="A10" s="7" t="s">
        <v>8</v>
      </c>
    </row>
    <row r="11" ht="27.75" customHeight="1">
      <c r="A11" s="7" t="s">
        <v>9</v>
      </c>
    </row>
    <row r="12" ht="27.75" customHeight="1">
      <c r="A12" s="7" t="s">
        <v>10</v>
      </c>
    </row>
    <row r="13" ht="27.75" customHeight="1">
      <c r="A13" s="7" t="s">
        <v>11</v>
      </c>
    </row>
    <row r="14" ht="27.75" customHeight="1">
      <c r="A14" s="7" t="s">
        <v>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D1"/>
    <mergeCell ref="A9:F9"/>
    <mergeCell ref="A10:F10"/>
    <mergeCell ref="A11:F11"/>
    <mergeCell ref="A12:F12"/>
    <mergeCell ref="A13:F13"/>
    <mergeCell ref="A14:F1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2.0"/>
    <col customWidth="1" min="3" max="3" width="22.0"/>
    <col customWidth="1" min="4" max="4" width="18.0"/>
    <col customWidth="1" min="5" max="5" width="38.0"/>
    <col customWidth="1" min="6" max="6" width="32.0"/>
    <col customWidth="1" min="7" max="26" width="8.71"/>
  </cols>
  <sheetData>
    <row r="1">
      <c r="A1" s="1" t="s">
        <v>13</v>
      </c>
    </row>
    <row r="2">
      <c r="A2" s="8" t="s">
        <v>14</v>
      </c>
    </row>
    <row r="4">
      <c r="A4" s="9" t="s">
        <v>15</v>
      </c>
      <c r="B4" s="9" t="s">
        <v>16</v>
      </c>
      <c r="C4" s="9" t="s">
        <v>17</v>
      </c>
      <c r="D4" s="9" t="s">
        <v>18</v>
      </c>
      <c r="E4" s="9" t="s">
        <v>19</v>
      </c>
      <c r="F4" s="9" t="s">
        <v>20</v>
      </c>
    </row>
    <row r="5">
      <c r="A5" s="10" t="s">
        <v>21</v>
      </c>
      <c r="B5" s="11">
        <v>37737.0</v>
      </c>
      <c r="C5" s="10" t="s">
        <v>22</v>
      </c>
      <c r="D5" s="10" t="s">
        <v>23</v>
      </c>
      <c r="E5" s="10" t="s">
        <v>24</v>
      </c>
      <c r="F5" s="10" t="s">
        <v>25</v>
      </c>
    </row>
    <row r="6" ht="36.0" customHeight="1">
      <c r="A6" s="10" t="s">
        <v>21</v>
      </c>
      <c r="B6" s="11">
        <v>37737.0</v>
      </c>
      <c r="C6" s="10" t="s">
        <v>26</v>
      </c>
      <c r="D6" s="10" t="s">
        <v>23</v>
      </c>
      <c r="E6" s="10" t="s">
        <v>27</v>
      </c>
      <c r="F6" s="10" t="s">
        <v>28</v>
      </c>
    </row>
    <row r="7" ht="36.0" customHeight="1">
      <c r="A7" s="10" t="s">
        <v>21</v>
      </c>
      <c r="B7" s="11">
        <v>37737.0</v>
      </c>
      <c r="C7" s="10" t="s">
        <v>29</v>
      </c>
      <c r="D7" s="10" t="s">
        <v>23</v>
      </c>
      <c r="E7" s="10" t="s">
        <v>30</v>
      </c>
      <c r="F7" s="10" t="s">
        <v>31</v>
      </c>
    </row>
    <row r="8" ht="36.0" customHeight="1">
      <c r="A8" s="10" t="s">
        <v>21</v>
      </c>
      <c r="B8" s="11">
        <v>37737.0</v>
      </c>
      <c r="C8" s="10" t="s">
        <v>32</v>
      </c>
      <c r="D8" s="10" t="s">
        <v>23</v>
      </c>
      <c r="E8" s="10" t="s">
        <v>33</v>
      </c>
      <c r="F8" s="10" t="s">
        <v>34</v>
      </c>
    </row>
    <row r="9" ht="36.0" customHeight="1">
      <c r="A9" s="10" t="s">
        <v>21</v>
      </c>
      <c r="B9" s="11">
        <v>37737.0</v>
      </c>
      <c r="C9" s="10" t="s">
        <v>35</v>
      </c>
      <c r="D9" s="10" t="s">
        <v>36</v>
      </c>
      <c r="E9" s="10" t="s">
        <v>37</v>
      </c>
      <c r="F9" s="10" t="s">
        <v>38</v>
      </c>
    </row>
    <row r="10" ht="36.0" customHeight="1">
      <c r="A10" s="10" t="s">
        <v>21</v>
      </c>
      <c r="B10" s="11">
        <v>37737.0</v>
      </c>
      <c r="C10" s="10" t="s">
        <v>39</v>
      </c>
      <c r="D10" s="10" t="s">
        <v>23</v>
      </c>
      <c r="E10" s="10" t="s">
        <v>40</v>
      </c>
      <c r="F10" s="10" t="s">
        <v>41</v>
      </c>
    </row>
    <row r="11" ht="36.0" customHeight="1">
      <c r="A11" s="10" t="s">
        <v>42</v>
      </c>
      <c r="B11" s="11">
        <v>37737.0</v>
      </c>
      <c r="C11" s="10" t="s">
        <v>43</v>
      </c>
      <c r="D11" s="10" t="s">
        <v>44</v>
      </c>
      <c r="E11" s="10" t="s">
        <v>45</v>
      </c>
      <c r="F11" s="10" t="s">
        <v>46</v>
      </c>
    </row>
    <row r="12">
      <c r="A12" s="10" t="s">
        <v>47</v>
      </c>
      <c r="B12" s="11">
        <v>38863.0</v>
      </c>
      <c r="C12" s="10" t="s">
        <v>48</v>
      </c>
      <c r="D12" s="10" t="s">
        <v>49</v>
      </c>
      <c r="E12" s="10" t="s">
        <v>50</v>
      </c>
      <c r="F12" s="10" t="s">
        <v>51</v>
      </c>
    </row>
    <row r="13">
      <c r="A13" s="10" t="s">
        <v>47</v>
      </c>
      <c r="B13" s="11">
        <v>39228.0</v>
      </c>
      <c r="C13" s="10" t="s">
        <v>52</v>
      </c>
      <c r="D13" s="10" t="s">
        <v>53</v>
      </c>
      <c r="E13" s="10" t="s">
        <v>54</v>
      </c>
      <c r="F13" s="10" t="s">
        <v>55</v>
      </c>
    </row>
    <row r="14">
      <c r="A14" s="10" t="s">
        <v>47</v>
      </c>
      <c r="B14" s="11">
        <v>39228.0</v>
      </c>
      <c r="C14" s="10" t="s">
        <v>56</v>
      </c>
      <c r="D14" s="10" t="s">
        <v>57</v>
      </c>
      <c r="E14" s="10" t="s">
        <v>58</v>
      </c>
      <c r="F14" s="10" t="s">
        <v>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F1"/>
    <mergeCell ref="A2:F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2.0"/>
    <col customWidth="1" min="3" max="3" width="13.0"/>
    <col customWidth="1" min="4" max="4" width="9.0"/>
    <col customWidth="1" min="5" max="5" width="13.0"/>
    <col customWidth="1" min="6" max="6" width="12.86"/>
    <col customWidth="1" min="7" max="7" width="13.0"/>
    <col customWidth="1" min="8" max="8" width="9.0"/>
    <col customWidth="1" min="9" max="9" width="13.0"/>
    <col customWidth="1" min="10" max="10" width="9.0"/>
    <col customWidth="1" min="11" max="11" width="13.14"/>
    <col customWidth="1" min="12" max="24" width="8.71"/>
  </cols>
  <sheetData>
    <row r="1">
      <c r="A1" s="1" t="s">
        <v>60</v>
      </c>
    </row>
    <row r="2">
      <c r="A2" s="8" t="s">
        <v>61</v>
      </c>
    </row>
    <row r="4">
      <c r="A4" s="2" t="s">
        <v>62</v>
      </c>
      <c r="B4" s="12" t="s">
        <v>63</v>
      </c>
      <c r="C4" s="12" t="s">
        <v>64</v>
      </c>
      <c r="D4" s="12" t="s">
        <v>65</v>
      </c>
      <c r="E4" s="12" t="s">
        <v>66</v>
      </c>
      <c r="F4" s="13" t="s">
        <v>67</v>
      </c>
    </row>
    <row r="5">
      <c r="B5" s="14">
        <v>100000.0</v>
      </c>
      <c r="C5" s="14">
        <v>100000.0</v>
      </c>
      <c r="D5" s="14">
        <v>10000.0</v>
      </c>
      <c r="E5" s="14">
        <v>10000.0</v>
      </c>
      <c r="F5" s="15">
        <v>1000000.0</v>
      </c>
    </row>
    <row r="7">
      <c r="A7" s="9" t="s">
        <v>68</v>
      </c>
      <c r="B7" s="9" t="s">
        <v>16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73</v>
      </c>
      <c r="H7" s="9" t="s">
        <v>74</v>
      </c>
      <c r="I7" s="9" t="s">
        <v>75</v>
      </c>
      <c r="J7" s="9" t="s">
        <v>76</v>
      </c>
      <c r="K7" s="16" t="s">
        <v>77</v>
      </c>
      <c r="L7" s="16" t="s">
        <v>78</v>
      </c>
    </row>
    <row r="8">
      <c r="A8" s="17" t="s">
        <v>79</v>
      </c>
      <c r="B8" s="18"/>
      <c r="C8" s="10">
        <v>101673.73</v>
      </c>
      <c r="D8" s="19">
        <f t="shared" ref="D8:D10" si="1">IF(C8="","",C8/$B$5-1)</f>
        <v>0.0167373</v>
      </c>
      <c r="E8" s="10">
        <v>100377.28</v>
      </c>
      <c r="F8" s="19">
        <f t="shared" ref="F8:F10" si="2">IF(E8="","",E8/$C$5-1)</f>
        <v>0.0037728</v>
      </c>
      <c r="G8" s="3">
        <v>10000.0</v>
      </c>
      <c r="H8" s="19">
        <f t="shared" ref="H8:H10" si="3">IF(G8="","",G8/$D$5-1)</f>
        <v>0</v>
      </c>
      <c r="I8" s="3">
        <v>10269.0</v>
      </c>
      <c r="J8" s="19">
        <f t="shared" ref="J8:J10" si="4">IF(I8="","",I8/$E$5-1)</f>
        <v>0.0269</v>
      </c>
      <c r="K8" s="3">
        <v>1000712.0</v>
      </c>
      <c r="L8" s="19">
        <f>IF(K8="","",K8/$F$5-1)</f>
        <v>0.000712</v>
      </c>
    </row>
    <row r="9">
      <c r="A9" s="17" t="s">
        <v>80</v>
      </c>
      <c r="B9" s="18"/>
      <c r="C9" s="4"/>
      <c r="D9" s="19" t="str">
        <f t="shared" si="1"/>
        <v/>
      </c>
      <c r="E9" s="4"/>
      <c r="F9" s="19" t="str">
        <f t="shared" si="2"/>
        <v/>
      </c>
      <c r="G9" s="4"/>
      <c r="H9" s="19" t="str">
        <f t="shared" si="3"/>
        <v/>
      </c>
      <c r="I9" s="4"/>
      <c r="J9" s="19" t="str">
        <f t="shared" si="4"/>
        <v/>
      </c>
      <c r="K9" s="4"/>
      <c r="L9" s="19" t="str">
        <f t="shared" ref="L9:L10" si="5">IF(K9="","",K9/$E$5-1)</f>
        <v/>
      </c>
    </row>
    <row r="10">
      <c r="A10" s="17" t="s">
        <v>81</v>
      </c>
      <c r="B10" s="18"/>
      <c r="C10" s="4"/>
      <c r="D10" s="19" t="str">
        <f t="shared" si="1"/>
        <v/>
      </c>
      <c r="E10" s="4"/>
      <c r="F10" s="19" t="str">
        <f t="shared" si="2"/>
        <v/>
      </c>
      <c r="G10" s="4"/>
      <c r="H10" s="19" t="str">
        <f t="shared" si="3"/>
        <v/>
      </c>
      <c r="I10" s="4"/>
      <c r="J10" s="19" t="str">
        <f t="shared" si="4"/>
        <v/>
      </c>
      <c r="K10" s="4"/>
      <c r="L10" s="19" t="str">
        <f t="shared" si="5"/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J1"/>
    <mergeCell ref="A2:J2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3" width="23.0"/>
    <col customWidth="1" min="4" max="5" width="10.0"/>
    <col customWidth="1" min="6" max="7" width="12.0"/>
    <col customWidth="1" min="8" max="8" width="10.0"/>
    <col customWidth="1" min="9" max="9" width="28.0"/>
    <col customWidth="1" min="10" max="26" width="8.71"/>
  </cols>
  <sheetData>
    <row r="1">
      <c r="A1" s="1" t="s">
        <v>82</v>
      </c>
    </row>
    <row r="2">
      <c r="A2" s="8" t="s">
        <v>83</v>
      </c>
    </row>
    <row r="4">
      <c r="A4" s="20" t="s">
        <v>84</v>
      </c>
      <c r="B4" s="9" t="s">
        <v>85</v>
      </c>
      <c r="C4" s="9" t="s">
        <v>86</v>
      </c>
      <c r="D4" s="9" t="s">
        <v>87</v>
      </c>
      <c r="E4" s="9" t="s">
        <v>88</v>
      </c>
      <c r="F4" s="9" t="s">
        <v>89</v>
      </c>
      <c r="G4" s="9" t="s">
        <v>90</v>
      </c>
      <c r="H4" s="9" t="s">
        <v>91</v>
      </c>
      <c r="I4" s="9" t="s">
        <v>92</v>
      </c>
    </row>
    <row r="5">
      <c r="A5" s="21">
        <v>46138.0</v>
      </c>
      <c r="B5" s="10" t="s">
        <v>93</v>
      </c>
      <c r="C5" s="10" t="s">
        <v>94</v>
      </c>
      <c r="D5" s="10" t="s">
        <v>95</v>
      </c>
      <c r="E5" s="10">
        <v>222.0</v>
      </c>
      <c r="F5" s="10">
        <v>224.56</v>
      </c>
      <c r="G5" s="10">
        <v>226.5</v>
      </c>
      <c r="H5" s="22">
        <f t="shared" ref="H5:H25" si="1">IF(D5="Long", (G5-F5)/F5, IF(D5="Short", (F5-G5)/F5, ""))</f>
        <v>0.008639116494</v>
      </c>
      <c r="I5" s="10" t="s">
        <v>96</v>
      </c>
    </row>
    <row r="6">
      <c r="A6" s="21">
        <v>46138.0</v>
      </c>
      <c r="B6" s="10" t="s">
        <v>93</v>
      </c>
      <c r="C6" s="10" t="s">
        <v>97</v>
      </c>
      <c r="D6" s="10" t="s">
        <v>95</v>
      </c>
      <c r="E6" s="10">
        <v>151.0</v>
      </c>
      <c r="F6" s="10">
        <v>65.88</v>
      </c>
      <c r="G6" s="10">
        <v>68.08</v>
      </c>
      <c r="H6" s="22">
        <f t="shared" si="1"/>
        <v>0.03339404979</v>
      </c>
      <c r="I6" s="10" t="s">
        <v>98</v>
      </c>
    </row>
    <row r="7">
      <c r="A7" s="21">
        <v>46138.0</v>
      </c>
      <c r="B7" s="10" t="s">
        <v>93</v>
      </c>
      <c r="C7" s="10" t="s">
        <v>99</v>
      </c>
      <c r="D7" s="10" t="s">
        <v>95</v>
      </c>
      <c r="E7" s="10">
        <v>10.0</v>
      </c>
      <c r="F7" s="10">
        <v>1022.6</v>
      </c>
      <c r="G7" s="10">
        <v>1088.0</v>
      </c>
      <c r="H7" s="22">
        <f t="shared" si="1"/>
        <v>0.06395462546</v>
      </c>
      <c r="I7" s="10" t="s">
        <v>98</v>
      </c>
    </row>
    <row r="8">
      <c r="A8" s="21">
        <v>46138.0</v>
      </c>
      <c r="B8" s="10" t="s">
        <v>93</v>
      </c>
      <c r="C8" s="10" t="s">
        <v>100</v>
      </c>
      <c r="D8" s="10" t="s">
        <v>95</v>
      </c>
      <c r="E8" s="10">
        <v>54.0</v>
      </c>
      <c r="F8" s="10">
        <v>181.7</v>
      </c>
      <c r="G8" s="10">
        <v>177.85</v>
      </c>
      <c r="H8" s="22">
        <f t="shared" si="1"/>
        <v>-0.0211887727</v>
      </c>
      <c r="I8" s="10" t="s">
        <v>98</v>
      </c>
    </row>
    <row r="9">
      <c r="A9" s="23">
        <v>46138.0</v>
      </c>
      <c r="B9" s="10" t="s">
        <v>93</v>
      </c>
      <c r="C9" s="10" t="s">
        <v>101</v>
      </c>
      <c r="D9" s="10" t="s">
        <v>95</v>
      </c>
      <c r="E9" s="10">
        <v>21.0</v>
      </c>
      <c r="F9" s="10">
        <v>466.53</v>
      </c>
      <c r="G9" s="10">
        <v>482.0</v>
      </c>
      <c r="H9" s="22">
        <f t="shared" si="1"/>
        <v>0.03315971106</v>
      </c>
      <c r="I9" s="10" t="s">
        <v>98</v>
      </c>
    </row>
    <row r="10">
      <c r="A10" s="21">
        <v>46138.0</v>
      </c>
      <c r="B10" s="10" t="s">
        <v>93</v>
      </c>
      <c r="C10" s="10" t="s">
        <v>102</v>
      </c>
      <c r="D10" s="10" t="s">
        <v>95</v>
      </c>
      <c r="E10" s="10">
        <v>42.0</v>
      </c>
      <c r="F10" s="10">
        <v>233.88</v>
      </c>
      <c r="G10" s="10">
        <v>246.5</v>
      </c>
      <c r="H10" s="22">
        <f t="shared" si="1"/>
        <v>0.05395929537</v>
      </c>
      <c r="I10" s="10" t="s">
        <v>98</v>
      </c>
    </row>
    <row r="11">
      <c r="A11" s="21">
        <v>46138.0</v>
      </c>
      <c r="B11" s="10" t="s">
        <v>103</v>
      </c>
      <c r="C11" s="10" t="s">
        <v>104</v>
      </c>
      <c r="D11" s="10" t="s">
        <v>95</v>
      </c>
      <c r="E11" s="10">
        <v>160.0</v>
      </c>
      <c r="F11" s="10">
        <v>124.89</v>
      </c>
      <c r="G11" s="10">
        <v>124.86</v>
      </c>
      <c r="H11" s="22">
        <f t="shared" si="1"/>
        <v>-0.000240211386</v>
      </c>
      <c r="I11" s="10" t="s">
        <v>105</v>
      </c>
    </row>
    <row r="12">
      <c r="A12" s="21">
        <v>46138.0</v>
      </c>
      <c r="B12" s="10" t="s">
        <v>103</v>
      </c>
      <c r="C12" s="10" t="s">
        <v>106</v>
      </c>
      <c r="D12" s="10" t="s">
        <v>95</v>
      </c>
      <c r="E12" s="10">
        <v>196.0</v>
      </c>
      <c r="F12" s="10">
        <v>101.84</v>
      </c>
      <c r="G12" s="10">
        <v>101.88</v>
      </c>
      <c r="H12" s="22">
        <f t="shared" si="1"/>
        <v>0.0003927729772</v>
      </c>
      <c r="I12" s="10" t="s">
        <v>107</v>
      </c>
    </row>
    <row r="13">
      <c r="A13" s="21">
        <v>46138.0</v>
      </c>
      <c r="B13" s="10" t="s">
        <v>103</v>
      </c>
      <c r="C13" s="10" t="s">
        <v>108</v>
      </c>
      <c r="D13" s="10" t="s">
        <v>95</v>
      </c>
      <c r="E13" s="10">
        <v>640.0</v>
      </c>
      <c r="F13" s="10">
        <v>32.81</v>
      </c>
      <c r="G13" s="10">
        <v>32.85</v>
      </c>
      <c r="H13" s="22">
        <f t="shared" si="1"/>
        <v>0.001219140506</v>
      </c>
      <c r="I13" s="10" t="s">
        <v>109</v>
      </c>
    </row>
    <row r="14">
      <c r="A14" s="21">
        <v>46138.0</v>
      </c>
      <c r="B14" s="10" t="s">
        <v>103</v>
      </c>
      <c r="C14" s="10" t="s">
        <v>110</v>
      </c>
      <c r="D14" s="10" t="s">
        <v>95</v>
      </c>
      <c r="E14" s="10">
        <v>422.0</v>
      </c>
      <c r="F14" s="10">
        <v>5590.0</v>
      </c>
      <c r="G14" s="10">
        <v>5480.0</v>
      </c>
      <c r="H14" s="22">
        <f t="shared" si="1"/>
        <v>-0.01967799642</v>
      </c>
      <c r="I14" s="10" t="s">
        <v>111</v>
      </c>
    </row>
    <row r="15">
      <c r="A15" s="21">
        <v>46138.0</v>
      </c>
      <c r="B15" s="10" t="s">
        <v>103</v>
      </c>
      <c r="C15" s="10" t="s">
        <v>112</v>
      </c>
      <c r="D15" s="10" t="s">
        <v>95</v>
      </c>
      <c r="E15" s="10">
        <v>5.0</v>
      </c>
      <c r="F15" s="10">
        <v>640.1</v>
      </c>
      <c r="G15" s="10">
        <v>679.33</v>
      </c>
      <c r="H15" s="22">
        <f t="shared" si="1"/>
        <v>0.06128729886</v>
      </c>
      <c r="I15" s="10" t="s">
        <v>113</v>
      </c>
    </row>
    <row r="16">
      <c r="A16" s="21">
        <v>46149.0</v>
      </c>
      <c r="B16" s="24" t="s">
        <v>114</v>
      </c>
      <c r="C16" s="24" t="s">
        <v>115</v>
      </c>
      <c r="D16" s="24" t="s">
        <v>95</v>
      </c>
      <c r="E16" s="25">
        <v>200.0</v>
      </c>
      <c r="F16" s="26">
        <v>410.2</v>
      </c>
      <c r="G16" s="27">
        <v>414.05</v>
      </c>
      <c r="H16" s="22">
        <f t="shared" si="1"/>
        <v>0.009385665529</v>
      </c>
      <c r="I16" s="24" t="s">
        <v>116</v>
      </c>
    </row>
    <row r="17">
      <c r="A17" s="21">
        <v>46149.0</v>
      </c>
      <c r="B17" s="24" t="s">
        <v>114</v>
      </c>
      <c r="C17" s="24" t="s">
        <v>117</v>
      </c>
      <c r="D17" s="24" t="s">
        <v>95</v>
      </c>
      <c r="E17" s="25">
        <v>400.0</v>
      </c>
      <c r="F17" s="26">
        <v>396.51</v>
      </c>
      <c r="G17" s="27">
        <v>397.7</v>
      </c>
      <c r="H17" s="22">
        <f t="shared" si="1"/>
        <v>0.003001185342</v>
      </c>
      <c r="I17" s="24" t="s">
        <v>116</v>
      </c>
    </row>
    <row r="18">
      <c r="A18" s="21">
        <v>46149.0</v>
      </c>
      <c r="B18" s="24" t="s">
        <v>114</v>
      </c>
      <c r="C18" s="24" t="s">
        <v>118</v>
      </c>
      <c r="D18" s="28" t="s">
        <v>95</v>
      </c>
      <c r="E18" s="25">
        <v>4.0</v>
      </c>
      <c r="F18" s="26">
        <v>397.75</v>
      </c>
      <c r="G18" s="27">
        <v>397.7</v>
      </c>
      <c r="H18" s="22">
        <f t="shared" si="1"/>
        <v>-0.0001257071025</v>
      </c>
      <c r="I18" s="24" t="s">
        <v>119</v>
      </c>
    </row>
    <row r="19">
      <c r="A19" s="21">
        <v>46149.0</v>
      </c>
      <c r="B19" s="24" t="s">
        <v>114</v>
      </c>
      <c r="C19" s="24" t="s">
        <v>120</v>
      </c>
      <c r="D19" s="24" t="s">
        <v>121</v>
      </c>
      <c r="E19" s="25">
        <v>7.0</v>
      </c>
      <c r="F19" s="26">
        <v>272.13</v>
      </c>
      <c r="G19" s="27">
        <v>271.77</v>
      </c>
      <c r="H19" s="22">
        <f t="shared" si="1"/>
        <v>0.001322897145</v>
      </c>
      <c r="I19" s="29" t="s">
        <v>122</v>
      </c>
    </row>
    <row r="20">
      <c r="A20" s="21">
        <v>46149.0</v>
      </c>
      <c r="B20" s="24" t="s">
        <v>114</v>
      </c>
      <c r="C20" s="24" t="s">
        <v>123</v>
      </c>
      <c r="D20" s="24" t="s">
        <v>121</v>
      </c>
      <c r="E20" s="25">
        <v>6.0</v>
      </c>
      <c r="F20" s="26">
        <v>224.87</v>
      </c>
      <c r="G20" s="27">
        <v>222.51</v>
      </c>
      <c r="H20" s="22">
        <f t="shared" si="1"/>
        <v>0.01049495264</v>
      </c>
      <c r="I20" s="24" t="s">
        <v>122</v>
      </c>
    </row>
    <row r="21" ht="15.75" customHeight="1">
      <c r="A21" s="21">
        <v>46149.0</v>
      </c>
      <c r="B21" s="24" t="s">
        <v>114</v>
      </c>
      <c r="C21" s="24" t="s">
        <v>124</v>
      </c>
      <c r="D21" s="24" t="s">
        <v>121</v>
      </c>
      <c r="E21" s="25">
        <v>4.0</v>
      </c>
      <c r="F21" s="26">
        <v>321.72</v>
      </c>
      <c r="G21" s="27">
        <v>322.78</v>
      </c>
      <c r="H21" s="22">
        <f t="shared" si="1"/>
        <v>-0.003294790501</v>
      </c>
      <c r="I21" s="24" t="s">
        <v>122</v>
      </c>
    </row>
    <row r="22" ht="15.75" customHeight="1">
      <c r="A22" s="21">
        <v>46149.0</v>
      </c>
      <c r="B22" s="24" t="s">
        <v>114</v>
      </c>
      <c r="C22" s="24" t="s">
        <v>125</v>
      </c>
      <c r="D22" s="24" t="s">
        <v>95</v>
      </c>
      <c r="E22" s="25">
        <v>90000.0</v>
      </c>
      <c r="F22" s="26">
        <v>100.21</v>
      </c>
      <c r="G22" s="27">
        <v>100.22</v>
      </c>
      <c r="H22" s="22">
        <f t="shared" si="1"/>
        <v>0.00009979044008</v>
      </c>
      <c r="I22" s="24" t="s">
        <v>126</v>
      </c>
    </row>
    <row r="23" ht="15.75" customHeight="1">
      <c r="A23" s="21">
        <v>46149.0</v>
      </c>
      <c r="B23" s="24" t="s">
        <v>114</v>
      </c>
      <c r="C23" s="24" t="s">
        <v>127</v>
      </c>
      <c r="D23" s="24" t="s">
        <v>95</v>
      </c>
      <c r="E23" s="25">
        <v>90000.0</v>
      </c>
      <c r="F23" s="26">
        <v>98.25</v>
      </c>
      <c r="G23" s="27">
        <v>98.5</v>
      </c>
      <c r="H23" s="22">
        <f t="shared" si="1"/>
        <v>0.002544529262</v>
      </c>
      <c r="I23" s="24" t="s">
        <v>128</v>
      </c>
    </row>
    <row r="24" ht="15.75" customHeight="1">
      <c r="A24" s="21">
        <v>46149.0</v>
      </c>
      <c r="B24" s="24" t="s">
        <v>114</v>
      </c>
      <c r="C24" s="24" t="s">
        <v>129</v>
      </c>
      <c r="D24" s="24" t="s">
        <v>121</v>
      </c>
      <c r="E24" s="25">
        <v>50.0</v>
      </c>
      <c r="F24" s="26">
        <v>411.99</v>
      </c>
      <c r="G24" s="27">
        <v>416.58</v>
      </c>
      <c r="H24" s="22">
        <f t="shared" si="1"/>
        <v>-0.01114104711</v>
      </c>
      <c r="I24" s="24" t="s">
        <v>130</v>
      </c>
    </row>
    <row r="25" ht="15.75" customHeight="1">
      <c r="A25" s="21">
        <v>46149.0</v>
      </c>
      <c r="B25" s="29" t="s">
        <v>131</v>
      </c>
      <c r="C25" s="29" t="s">
        <v>132</v>
      </c>
      <c r="D25" s="29" t="s">
        <v>95</v>
      </c>
      <c r="E25" s="30">
        <v>1033089.0</v>
      </c>
      <c r="F25" s="27">
        <v>79463.0</v>
      </c>
      <c r="G25" s="27">
        <v>79903.75</v>
      </c>
      <c r="H25" s="22">
        <f t="shared" si="1"/>
        <v>0.005546606597</v>
      </c>
      <c r="I25" s="28" t="s">
        <v>133</v>
      </c>
    </row>
    <row r="26" ht="15.75" customHeight="1">
      <c r="A26" s="31"/>
      <c r="B26" s="32"/>
      <c r="C26" s="32"/>
      <c r="D26" s="32"/>
      <c r="E26" s="32"/>
      <c r="F26" s="32"/>
      <c r="G26" s="32"/>
      <c r="H26" s="32"/>
    </row>
    <row r="27" ht="15.75" customHeight="1">
      <c r="A27" s="31"/>
      <c r="B27" s="32"/>
      <c r="C27" s="32"/>
      <c r="D27" s="32"/>
      <c r="E27" s="33"/>
      <c r="F27" s="32"/>
      <c r="G27" s="32"/>
      <c r="H27" s="32"/>
    </row>
    <row r="28" ht="15.75" customHeight="1">
      <c r="A28" s="31"/>
      <c r="B28" s="32"/>
      <c r="C28" s="32"/>
      <c r="D28" s="32"/>
      <c r="E28" s="32"/>
      <c r="F28" s="32"/>
      <c r="G28" s="32"/>
      <c r="H28" s="32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I1"/>
    <mergeCell ref="A2:I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0"/>
    <col customWidth="1" min="3" max="3" width="18.0"/>
    <col customWidth="1" min="4" max="4" width="14.0"/>
    <col customWidth="1" min="5" max="8" width="10.0"/>
    <col customWidth="1" min="9" max="9" width="30.0"/>
    <col customWidth="1" min="10" max="26" width="8.71"/>
  </cols>
  <sheetData>
    <row r="1">
      <c r="A1" s="1" t="s">
        <v>134</v>
      </c>
    </row>
    <row r="2">
      <c r="A2" s="8" t="s">
        <v>135</v>
      </c>
    </row>
    <row r="4">
      <c r="A4" s="9" t="s">
        <v>16</v>
      </c>
      <c r="B4" s="9" t="s">
        <v>85</v>
      </c>
      <c r="C4" s="9" t="s">
        <v>86</v>
      </c>
      <c r="D4" s="9" t="s">
        <v>136</v>
      </c>
      <c r="E4" s="9" t="s">
        <v>87</v>
      </c>
      <c r="F4" s="9" t="s">
        <v>88</v>
      </c>
      <c r="G4" s="9" t="s">
        <v>137</v>
      </c>
      <c r="H4" s="9" t="s">
        <v>91</v>
      </c>
      <c r="I4" s="9" t="s">
        <v>138</v>
      </c>
    </row>
    <row r="5">
      <c r="A5" s="18"/>
      <c r="B5" s="18"/>
      <c r="C5" s="18"/>
      <c r="D5" s="18"/>
      <c r="E5" s="18"/>
      <c r="F5" s="18"/>
      <c r="G5" s="18"/>
      <c r="H5" s="18"/>
      <c r="I5" s="18"/>
    </row>
    <row r="6">
      <c r="A6" s="18"/>
      <c r="B6" s="18"/>
      <c r="C6" s="18"/>
      <c r="D6" s="18"/>
      <c r="E6" s="18"/>
      <c r="F6" s="18"/>
      <c r="G6" s="18"/>
      <c r="H6" s="18"/>
      <c r="I6" s="18"/>
    </row>
    <row r="7">
      <c r="A7" s="18"/>
      <c r="B7" s="18"/>
      <c r="C7" s="18"/>
      <c r="D7" s="18"/>
      <c r="E7" s="18"/>
      <c r="F7" s="18"/>
      <c r="G7" s="18"/>
      <c r="H7" s="18"/>
      <c r="I7" s="18"/>
    </row>
    <row r="8">
      <c r="A8" s="18"/>
      <c r="B8" s="18"/>
      <c r="C8" s="18"/>
      <c r="D8" s="18"/>
      <c r="E8" s="18"/>
      <c r="F8" s="18"/>
      <c r="G8" s="18"/>
      <c r="H8" s="18"/>
      <c r="I8" s="18"/>
    </row>
    <row r="9">
      <c r="A9" s="18"/>
      <c r="B9" s="18"/>
      <c r="C9" s="18"/>
      <c r="D9" s="18"/>
      <c r="E9" s="18"/>
      <c r="F9" s="18"/>
      <c r="G9" s="18"/>
      <c r="H9" s="18"/>
      <c r="I9" s="18"/>
    </row>
    <row r="10">
      <c r="A10" s="18"/>
      <c r="B10" s="18"/>
      <c r="C10" s="18"/>
      <c r="D10" s="18"/>
      <c r="E10" s="18"/>
      <c r="F10" s="18"/>
      <c r="G10" s="18"/>
      <c r="H10" s="18"/>
      <c r="I10" s="18"/>
    </row>
    <row r="11">
      <c r="A11" s="18"/>
      <c r="B11" s="18"/>
      <c r="C11" s="18"/>
      <c r="D11" s="18"/>
      <c r="E11" s="18"/>
      <c r="F11" s="18"/>
      <c r="G11" s="18"/>
      <c r="H11" s="18"/>
      <c r="I11" s="18"/>
    </row>
    <row r="12">
      <c r="A12" s="18"/>
      <c r="B12" s="18"/>
      <c r="C12" s="18"/>
      <c r="D12" s="18"/>
      <c r="E12" s="18"/>
      <c r="F12" s="18"/>
      <c r="G12" s="18"/>
      <c r="H12" s="18"/>
      <c r="I12" s="18"/>
    </row>
    <row r="13">
      <c r="A13" s="18"/>
      <c r="B13" s="18"/>
      <c r="C13" s="18"/>
      <c r="D13" s="18"/>
      <c r="E13" s="18"/>
      <c r="F13" s="18"/>
      <c r="G13" s="18"/>
      <c r="H13" s="18"/>
      <c r="I13" s="18"/>
    </row>
    <row r="14">
      <c r="A14" s="18"/>
      <c r="B14" s="18"/>
      <c r="C14" s="18"/>
      <c r="D14" s="18"/>
      <c r="E14" s="18"/>
      <c r="F14" s="18"/>
      <c r="G14" s="18"/>
      <c r="H14" s="18"/>
      <c r="I14" s="18"/>
    </row>
    <row r="15">
      <c r="A15" s="18"/>
      <c r="B15" s="18"/>
      <c r="C15" s="18"/>
      <c r="D15" s="18"/>
      <c r="E15" s="18"/>
      <c r="F15" s="18"/>
      <c r="G15" s="18"/>
      <c r="H15" s="18"/>
      <c r="I15" s="18"/>
    </row>
    <row r="16">
      <c r="A16" s="18"/>
      <c r="B16" s="18"/>
      <c r="C16" s="18"/>
      <c r="D16" s="18"/>
      <c r="E16" s="18"/>
      <c r="F16" s="18"/>
      <c r="G16" s="18"/>
      <c r="H16" s="18"/>
      <c r="I16" s="18"/>
    </row>
    <row r="17">
      <c r="A17" s="18"/>
      <c r="B17" s="18"/>
      <c r="C17" s="18"/>
      <c r="D17" s="18"/>
      <c r="E17" s="18"/>
      <c r="F17" s="18"/>
      <c r="G17" s="18"/>
      <c r="H17" s="18"/>
      <c r="I17" s="18"/>
    </row>
    <row r="18">
      <c r="A18" s="18"/>
      <c r="B18" s="18"/>
      <c r="C18" s="18"/>
      <c r="D18" s="18"/>
      <c r="E18" s="18"/>
      <c r="F18" s="18"/>
      <c r="G18" s="18"/>
      <c r="H18" s="18"/>
      <c r="I18" s="18"/>
    </row>
    <row r="19">
      <c r="A19" s="18"/>
      <c r="B19" s="18"/>
      <c r="C19" s="18"/>
      <c r="D19" s="18"/>
      <c r="E19" s="18"/>
      <c r="F19" s="18"/>
      <c r="G19" s="18"/>
      <c r="H19" s="18"/>
      <c r="I19" s="18"/>
    </row>
    <row r="20">
      <c r="A20" s="18"/>
      <c r="B20" s="18"/>
      <c r="C20" s="18"/>
      <c r="D20" s="18"/>
      <c r="E20" s="18"/>
      <c r="F20" s="18"/>
      <c r="G20" s="18"/>
      <c r="H20" s="18"/>
      <c r="I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I1"/>
    <mergeCell ref="A2:I2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4" width="32.0"/>
    <col customWidth="1" min="5" max="26" width="8.71"/>
  </cols>
  <sheetData>
    <row r="1">
      <c r="A1" s="1" t="s">
        <v>139</v>
      </c>
    </row>
    <row r="2">
      <c r="A2" s="8" t="s">
        <v>140</v>
      </c>
    </row>
    <row r="4">
      <c r="A4" s="9" t="s">
        <v>141</v>
      </c>
      <c r="B4" s="9" t="s">
        <v>142</v>
      </c>
      <c r="C4" s="9" t="s">
        <v>143</v>
      </c>
      <c r="D4" s="9" t="s">
        <v>144</v>
      </c>
    </row>
    <row r="5" ht="79.5" customHeight="1">
      <c r="A5" s="34" t="s">
        <v>145</v>
      </c>
      <c r="B5" s="35" t="s">
        <v>146</v>
      </c>
      <c r="C5" s="35" t="s">
        <v>147</v>
      </c>
      <c r="D5" s="35" t="s">
        <v>148</v>
      </c>
    </row>
    <row r="6" ht="79.5" customHeight="1">
      <c r="A6" s="34" t="s">
        <v>149</v>
      </c>
      <c r="B6" s="36"/>
      <c r="C6" s="36"/>
      <c r="D6" s="36"/>
    </row>
    <row r="7" ht="79.5" customHeight="1">
      <c r="A7" s="34" t="s">
        <v>150</v>
      </c>
      <c r="B7" s="36"/>
      <c r="C7" s="36"/>
      <c r="D7" s="3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D1"/>
    <mergeCell ref="A2:D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2026-04-12T10:38:44Z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